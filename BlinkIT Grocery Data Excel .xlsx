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nayee\OneDrive\Desktop\Work\Excel\Project-4\"/>
    </mc:Choice>
  </mc:AlternateContent>
  <bookViews>
    <workbookView xWindow="0" yWindow="0" windowWidth="23040" windowHeight="9720" activeTab="2"/>
  </bookViews>
  <sheets>
    <sheet name="BlinkIT Grocery Data" sheetId="1" r:id="rId1"/>
    <sheet name="Sheet5" sheetId="8" r:id="rId2"/>
    <sheet name="Dashboard" sheetId="3" r:id="rId3"/>
  </sheets>
  <definedNames>
    <definedName name="Slicer_Item_Type">#N/A</definedName>
    <definedName name="Slicer_Outlet_Location_Type">#N/A</definedName>
    <definedName name="Slicer_Outlet_Size1">#N/A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7" i="8" l="1"/>
</calcChain>
</file>

<file path=xl/sharedStrings.xml><?xml version="1.0" encoding="utf-8"?>
<sst xmlns="http://schemas.openxmlformats.org/spreadsheetml/2006/main" count="59753" uniqueCount="1631">
  <si>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</si>
  <si>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</si>
  <si>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</si>
  <si>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</si>
  <si>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</si>
  <si>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</si>
  <si>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</si>
  <si>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</si>
  <si>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</si>
  <si>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</si>
  <si>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</si>
  <si>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</si>
  <si>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</si>
  <si>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</si>
  <si>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</si>
  <si>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</si>
  <si>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</si>
  <si>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</si>
  <si>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</si>
  <si>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</si>
  <si>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</si>
  <si>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</si>
  <si>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</si>
  <si>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</si>
  <si>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</si>
  <si>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</si>
  <si>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</si>
  <si>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</si>
  <si>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</si>
  <si>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</si>
  <si>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</si>
  <si>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</si>
  <si>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</si>
  <si>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</si>
  <si>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</si>
  <si>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</si>
  <si>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</si>
  <si>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</si>
  <si>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</si>
  <si>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</si>
  <si>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</si>
  <si>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</si>
  <si>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</si>
  <si>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</si>
  <si>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</si>
  <si>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</si>
  <si>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</si>
  <si>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</si>
  <si>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</si>
  <si>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</si>
  <si>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</si>
  <si>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</si>
  <si>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</si>
  <si>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</si>
  <si>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</si>
  <si>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</si>
  <si>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</si>
  <si>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</si>
  <si>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</si>
  <si>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</si>
  <si>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</si>
  <si>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</si>
  <si>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</si>
  <si>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</si>
  <si>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</si>
  <si>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</si>
  <si>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</si>
  <si>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</si>
  <si>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</si>
  <si>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</si>
  <si>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</si>
  <si>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</si>
  <si>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</si>
  <si>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</si>
  <si>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</si>
  <si>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</si>
  <si>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</si>
  <si>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</si>
  <si>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</si>
  <si>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</si>
  <si>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</si>
  <si>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</si>
  <si>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</si>
  <si>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</si>
  <si>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</si>
  <si>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</si>
  <si>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</si>
  <si>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</si>
  <si>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</si>
  <si>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</si>
  <si>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</si>
  <si>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</si>
  <si>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</si>
  <si>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</si>
  <si>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</si>
  <si>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</si>
  <si>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</si>
  <si>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</si>
  <si>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</si>
  <si>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</si>
  <si>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</si>
  <si>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</si>
  <si>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</si>
  <si>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</si>
  <si>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</si>
  <si>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</si>
  <si>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</si>
  <si>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</si>
  <si>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</si>
  <si>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</si>
  <si>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</si>
  <si>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</si>
  <si>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</si>
  <si>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</si>
  <si>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</si>
  <si>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</si>
  <si>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</si>
  <si>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</si>
  <si>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</si>
  <si>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</si>
  <si>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</si>
  <si>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</si>
  <si>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</si>
  <si>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</si>
  <si>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</si>
  <si>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</si>
  <si>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</si>
  <si>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</si>
  <si>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</si>
  <si>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</si>
  <si>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</si>
  <si>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</si>
  <si>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</si>
  <si>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</si>
  <si>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</si>
  <si>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</si>
  <si>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</si>
  <si>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</si>
  <si>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</si>
  <si>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</si>
  <si>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</si>
  <si>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</si>
  <si>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</si>
  <si>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</si>
  <si>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</si>
  <si>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</si>
  <si>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</si>
  <si>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</si>
  <si>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</si>
  <si>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</si>
  <si>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</si>
  <si>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</si>
  <si>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</si>
  <si>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</si>
  <si>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</si>
  <si>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</si>
  <si>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</si>
  <si>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</si>
  <si>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</si>
  <si>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</si>
  <si>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</si>
  <si>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</si>
  <si>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</si>
  <si>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</si>
  <si>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</si>
  <si>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</si>
  <si>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</si>
  <si>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</si>
  <si>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</si>
  <si>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</si>
  <si>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</si>
  <si>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</si>
  <si>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</si>
  <si>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</si>
  <si>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</si>
  <si>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</si>
  <si>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</si>
  <si>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</si>
  <si>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</si>
  <si>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</si>
  <si>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</si>
  <si>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</si>
  <si>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</si>
  <si>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</si>
  <si>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</si>
  <si>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</si>
  <si>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</si>
  <si>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</si>
  <si>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</si>
  <si>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</si>
  <si>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</si>
  <si>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</si>
  <si>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</si>
  <si>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</si>
  <si>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</si>
  <si>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</si>
  <si>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</si>
  <si>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</si>
  <si>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</si>
  <si>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</si>
  <si>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</si>
  <si>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</si>
  <si>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</si>
  <si>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</si>
  <si>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</si>
  <si>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</si>
  <si>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</si>
  <si>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</si>
  <si>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</si>
  <si>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</si>
  <si>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</si>
  <si>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</si>
  <si>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</si>
  <si>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</si>
  <si>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</si>
  <si>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</si>
  <si>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</si>
  <si>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</si>
  <si>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</si>
  <si>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</si>
  <si>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</si>
  <si>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</si>
  <si>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</si>
  <si>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</si>
  <si>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</si>
  <si>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</si>
  <si>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</si>
  <si>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</si>
  <si>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</si>
  <si>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</si>
  <si>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</si>
  <si>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</si>
  <si>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</si>
  <si>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</si>
  <si>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</si>
  <si>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</si>
  <si>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</si>
  <si>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</si>
  <si>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</si>
  <si>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</si>
  <si>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</si>
  <si>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</si>
  <si>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</si>
  <si>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</si>
  <si>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</si>
  <si>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</si>
  <si>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</si>
  <si>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</si>
  <si>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</si>
  <si>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</si>
  <si>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</si>
  <si>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</si>
  <si>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</si>
  <si>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</si>
  <si>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</si>
  <si>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</si>
  <si>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</si>
  <si>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</si>
  <si>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</si>
  <si>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</si>
  <si>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</si>
  <si>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</si>
  <si>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</si>
  <si>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</si>
  <si>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</si>
  <si>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</si>
  <si>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</si>
  <si>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</si>
  <si>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</si>
  <si>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</si>
  <si>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</si>
  <si>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</si>
  <si>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</si>
  <si>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</si>
  <si>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</si>
  <si>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</si>
  <si>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</si>
  <si>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</si>
  <si>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</si>
  <si>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</si>
  <si>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</si>
  <si>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</si>
  <si>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</si>
  <si>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</si>
  <si>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</si>
  <si>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</si>
  <si>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</si>
  <si>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</si>
  <si>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</si>
  <si>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</si>
  <si>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</si>
  <si>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</si>
  <si>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</si>
  <si>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</si>
  <si>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</si>
  <si>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</si>
  <si>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</si>
  <si>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</si>
  <si>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</si>
  <si>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</si>
  <si>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</si>
  <si>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</si>
  <si>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</si>
  <si>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</si>
  <si>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</si>
  <si>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</si>
  <si>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</si>
  <si>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</si>
  <si>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</si>
  <si>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</si>
  <si>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</si>
  <si>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</si>
  <si>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</si>
  <si>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</si>
  <si>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</si>
  <si>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</si>
  <si>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</si>
  <si>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</si>
  <si>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</si>
  <si>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</si>
  <si>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</si>
  <si>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</si>
  <si>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</si>
  <si>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</si>
  <si>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</si>
  <si>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</si>
  <si>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</si>
  <si>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</si>
  <si>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</si>
  <si>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</si>
  <si>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</si>
  <si>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</si>
  <si>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</si>
  <si>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</si>
  <si>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</si>
  <si>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</si>
  <si>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</si>
  <si>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</si>
  <si>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</si>
  <si>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</si>
  <si>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</si>
  <si>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</si>
  <si>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</si>
  <si>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</si>
  <si>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</si>
  <si>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</si>
  <si>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</si>
  <si>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</si>
  <si>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</si>
  <si>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</si>
  <si>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</si>
  <si>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</si>
  <si>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</si>
  <si>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</si>
  <si>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</si>
  <si>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</si>
  <si>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</si>
  <si>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</si>
  <si>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</si>
  <si>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</si>
  <si>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</si>
  <si>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</si>
  <si>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</si>
  <si>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</si>
  <si>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</si>
  <si>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</si>
  <si>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</si>
  <si>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</si>
  <si>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</si>
  <si>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</si>
  <si>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</si>
  <si>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</si>
  <si>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</si>
  <si>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</si>
  <si>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</si>
  <si>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</si>
  <si>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</si>
  <si>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</si>
  <si>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</si>
  <si>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</si>
  <si>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</si>
  <si>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</si>
  <si>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</si>
  <si>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</si>
  <si>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</si>
  <si>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</si>
  <si>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</si>
  <si>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</si>
  <si>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</si>
  <si>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</si>
  <si>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</si>
  <si>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</si>
  <si>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</si>
  <si>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</si>
  <si>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</si>
  <si>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</si>
  <si>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</si>
  <si>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</si>
  <si>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</si>
  <si>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</si>
  <si>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</si>
  <si>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</si>
  <si>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</si>
  <si>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</si>
  <si>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</si>
  <si>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</si>
  <si>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</si>
  <si>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</si>
  <si>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</si>
  <si>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</si>
  <si>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</si>
  <si>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</si>
  <si>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</si>
  <si>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</si>
  <si>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</si>
  <si>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</si>
  <si>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</si>
  <si>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</si>
  <si>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</si>
  <si>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</si>
  <si>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</si>
  <si>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</si>
  <si>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</si>
  <si>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</si>
  <si>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</si>
  <si>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</si>
  <si>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</si>
  <si>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</si>
  <si>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</si>
  <si>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</si>
  <si>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</si>
  <si>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</si>
  <si>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</si>
  <si>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</si>
  <si>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</si>
  <si>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</si>
  <si>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</si>
  <si>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</si>
  <si>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</si>
  <si>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</si>
  <si>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</si>
  <si>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</si>
  <si>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</si>
  <si>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</si>
  <si>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</si>
  <si>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</si>
  <si>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</si>
  <si>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</si>
  <si>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</si>
  <si>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</si>
  <si>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</si>
  <si>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</si>
  <si>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</si>
  <si>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</si>
  <si>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</si>
  <si>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</si>
  <si>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</si>
  <si>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</si>
  <si>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</si>
  <si>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</si>
  <si>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</si>
  <si>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</si>
  <si>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</si>
  <si>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</si>
  <si>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</si>
  <si>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</si>
  <si>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</si>
  <si>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</si>
  <si>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</si>
  <si>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</si>
  <si>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</si>
  <si>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</si>
  <si>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</si>
  <si>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</si>
  <si>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</si>
  <si>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</si>
  <si>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</si>
  <si>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</si>
  <si>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</si>
  <si>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</si>
  <si>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</si>
  <si>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</si>
  <si>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</si>
  <si>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</si>
  <si>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</si>
  <si>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</si>
  <si>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</si>
  <si>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</si>
  <si>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</si>
  <si>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</si>
  <si>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</si>
  <si>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</si>
  <si>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</si>
  <si>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</si>
  <si>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</si>
  <si>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</si>
  <si>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</si>
  <si>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</si>
  <si>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</si>
  <si>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</si>
  <si>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</si>
  <si>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</si>
  <si>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</si>
  <si>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</si>
  <si>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</si>
  <si>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</si>
  <si>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</si>
  <si>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</si>
  <si>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</si>
  <si>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</si>
  <si>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</si>
  <si>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</si>
  <si>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</si>
  <si>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</si>
  <si>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</si>
  <si>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</si>
  <si>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</si>
  <si>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</si>
  <si>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</si>
  <si>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</si>
  <si>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</si>
  <si>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</si>
  <si>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</si>
  <si>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</si>
  <si>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</si>
  <si>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</si>
  <si>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</si>
  <si>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</si>
  <si>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</si>
  <si>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</si>
  <si>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</si>
  <si>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</si>
  <si>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</si>
  <si>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</si>
  <si>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</si>
  <si>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</si>
  <si>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</si>
  <si>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</si>
  <si>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</si>
  <si>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</si>
  <si>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</si>
  <si>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</si>
  <si>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</si>
  <si>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</si>
  <si>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</si>
  <si>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</si>
  <si>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</si>
  <si>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</si>
  <si>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</si>
  <si>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</si>
  <si>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</si>
  <si>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</si>
  <si>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</si>
  <si>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</si>
  <si>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</si>
  <si>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</si>
  <si>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</si>
  <si>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</si>
  <si>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</si>
  <si>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</si>
  <si>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</si>
  <si>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</si>
  <si>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</si>
  <si>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</si>
  <si>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</si>
  <si>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</si>
  <si>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</si>
  <si>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</si>
  <si>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</si>
  <si>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</si>
  <si>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</si>
  <si>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</si>
  <si>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</si>
  <si>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</si>
  <si>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</si>
  <si>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</si>
  <si>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</si>
  <si>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</si>
  <si>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</si>
  <si>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</si>
  <si>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</si>
  <si>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</si>
  <si>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</si>
  <si>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</si>
  <si>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</si>
  <si>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</si>
  <si>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</si>
  <si>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</si>
  <si>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</si>
  <si>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</si>
  <si>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</si>
  <si>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</si>
  <si>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</si>
  <si>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</si>
  <si>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</si>
  <si>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</si>
  <si>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</si>
  <si>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</si>
  <si>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</si>
  <si>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</si>
  <si>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</si>
  <si>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</si>
  <si>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</si>
  <si>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</si>
  <si>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</si>
  <si>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</si>
  <si>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</si>
  <si>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</si>
  <si>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</si>
  <si>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</si>
  <si>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</si>
  <si>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</si>
  <si>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</si>
  <si>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</si>
  <si>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</si>
  <si>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</si>
  <si>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</si>
  <si>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</si>
  <si>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</si>
  <si>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</si>
  <si>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</si>
  <si>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</si>
  <si>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</si>
  <si>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</si>
  <si>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</si>
  <si>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</si>
  <si>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</si>
  <si>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</si>
  <si>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</si>
  <si>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</si>
  <si>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</si>
  <si>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</si>
  <si>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</si>
  <si>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</si>
  <si>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</si>
  <si>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</si>
  <si>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</si>
  <si>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</si>
  <si>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</si>
  <si>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</si>
  <si>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</si>
  <si>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</si>
  <si>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</si>
  <si>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</si>
  <si>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</si>
  <si>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</si>
  <si>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</si>
  <si>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</si>
  <si>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</si>
  <si>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</si>
  <si>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</si>
  <si>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</si>
  <si>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</si>
  <si>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</si>
  <si>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</si>
  <si>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</si>
  <si>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</si>
  <si>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</si>
  <si>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</si>
  <si>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</si>
  <si>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</si>
  <si>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</si>
  <si>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</si>
  <si>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</si>
  <si>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</si>
  <si>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</si>
  <si>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</si>
  <si>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</si>
  <si>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</si>
  <si>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</si>
  <si>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</si>
  <si>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</si>
  <si>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</si>
  <si>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</si>
  <si>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</si>
  <si>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</si>
  <si>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</si>
  <si>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</si>
  <si>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</si>
  <si>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</si>
  <si>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</si>
  <si>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</si>
  <si>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</si>
  <si>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</si>
  <si>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</si>
  <si>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</si>
  <si>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</si>
  <si>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</si>
  <si>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</si>
  <si>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</si>
  <si>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</si>
  <si>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</si>
  <si>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</si>
  <si>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</si>
  <si>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</si>
  <si>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</si>
  <si>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</si>
  <si>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</si>
  <si>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</si>
  <si>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</si>
  <si>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</si>
  <si>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</si>
  <si>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</si>
  <si>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</si>
  <si>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</si>
  <si>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</si>
  <si>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</si>
  <si>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</si>
  <si>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</si>
  <si>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</si>
  <si>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</si>
  <si>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</si>
  <si>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</si>
  <si>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</si>
  <si>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</si>
  <si>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</si>
  <si>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</si>
  <si>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</si>
  <si>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</si>
  <si>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</si>
  <si>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</si>
  <si>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</si>
  <si>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</si>
  <si>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</si>
  <si>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</si>
  <si>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</si>
  <si>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</si>
  <si>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</si>
  <si>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</si>
  <si>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</si>
  <si>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</si>
  <si>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</si>
  <si>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</si>
  <si>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</si>
  <si>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</si>
  <si>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</si>
  <si>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</si>
  <si>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</si>
  <si>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</si>
  <si>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</si>
  <si>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</si>
  <si>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</si>
  <si>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</si>
  <si>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</si>
  <si>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</si>
  <si>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</si>
  <si>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</si>
  <si>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</si>
  <si>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</si>
  <si>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</si>
  <si>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</si>
  <si>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</si>
  <si>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</si>
  <si>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</si>
  <si>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</si>
  <si>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</si>
  <si>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</si>
  <si>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</si>
  <si>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</si>
  <si>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</si>
  <si>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</si>
  <si>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</si>
  <si>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</si>
  <si>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</si>
  <si>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</si>
  <si>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</si>
  <si>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</si>
  <si>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</si>
  <si>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</si>
  <si>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</si>
  <si>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</si>
  <si>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</si>
  <si>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</si>
  <si>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</si>
  <si>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</si>
  <si>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</si>
  <si>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</si>
  <si>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</si>
  <si>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</si>
  <si>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</si>
  <si>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</si>
  <si>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</si>
  <si>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</si>
  <si>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</si>
  <si>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</si>
  <si>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</si>
  <si>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</si>
  <si>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</si>
  <si>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</si>
  <si>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</si>
  <si>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</si>
  <si>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</si>
  <si>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</si>
  <si>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</si>
  <si>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</si>
  <si>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</si>
  <si>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</si>
  <si>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</si>
  <si>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</si>
  <si>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</si>
  <si>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</si>
  <si>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</si>
  <si>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</si>
  <si>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</si>
  <si>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</si>
  <si>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</si>
  <si>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</si>
  <si>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</si>
  <si>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</si>
  <si>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</si>
  <si>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</si>
  <si>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</si>
  <si>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</si>
  <si>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</si>
  <si>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</si>
  <si>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</si>
  <si>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</si>
  <si>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</si>
  <si>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</si>
  <si>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</si>
  <si>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</si>
  <si>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</si>
  <si>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</si>
  <si>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</si>
  <si>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</si>
  <si>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</si>
  <si>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</si>
  <si>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</si>
  <si>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</si>
  <si>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</si>
  <si>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</si>
  <si>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</si>
  <si>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</si>
  <si>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</si>
  <si>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</si>
  <si>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</si>
  <si>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</si>
  <si>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</si>
  <si>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</si>
  <si>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</si>
  <si>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</si>
  <si>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</si>
  <si>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</si>
  <si>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</si>
  <si>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</si>
  <si>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</si>
  <si>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</si>
  <si>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</si>
  <si>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</si>
  <si>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</si>
  <si>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</si>
  <si>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</si>
  <si>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</si>
  <si>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</si>
  <si>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</si>
  <si>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</si>
  <si>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</si>
  <si>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</si>
  <si>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</si>
  <si>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</si>
  <si>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</si>
  <si>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</si>
  <si>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</si>
  <si>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</si>
  <si>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</si>
  <si>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</si>
  <si>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</si>
  <si>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</si>
  <si>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</si>
  <si>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</si>
  <si>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</si>
  <si>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</si>
  <si>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</si>
  <si>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</si>
  <si>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</si>
  <si>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</si>
  <si>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</si>
  <si>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</si>
  <si>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</si>
  <si>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</si>
  <si>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</si>
  <si>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</si>
  <si>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</si>
  <si>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</si>
  <si>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</si>
  <si>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</si>
  <si>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</si>
  <si>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</si>
  <si>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</si>
  <si>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</si>
  <si>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</si>
  <si>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</si>
  <si>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</si>
  <si>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</si>
  <si>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</si>
  <si>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</si>
  <si>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</si>
  <si>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</si>
  <si>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</si>
  <si>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</si>
  <si>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</si>
  <si>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</si>
  <si>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</si>
  <si>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</si>
  <si>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</si>
  <si>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</si>
  <si>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</si>
  <si>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</si>
  <si>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</si>
  <si>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</si>
  <si>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</si>
  <si>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</si>
  <si>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</si>
  <si>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</si>
  <si>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</si>
  <si>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</si>
  <si>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</si>
  <si>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</si>
  <si>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</si>
  <si>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</si>
  <si>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</si>
  <si>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</si>
  <si>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</si>
  <si>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</si>
  <si>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</si>
  <si>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</si>
  <si>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</si>
  <si>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</si>
  <si>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</si>
  <si>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</si>
  <si>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</si>
  <si>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</si>
  <si>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</si>
  <si>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</si>
  <si>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</si>
  <si>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</si>
  <si>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</si>
  <si>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</si>
  <si>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</si>
  <si>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</si>
  <si>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</si>
  <si>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</si>
  <si>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</si>
  <si>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</si>
  <si>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</si>
  <si>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</si>
  <si>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</si>
  <si>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</si>
  <si>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</si>
  <si>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</si>
  <si>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</si>
  <si>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</si>
  <si>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</si>
  <si>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</si>
  <si>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</si>
  <si>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</si>
  <si>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</si>
  <si>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</si>
  <si>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</si>
  <si>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</si>
  <si>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</si>
  <si>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</si>
  <si>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</si>
  <si>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</si>
  <si>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</si>
  <si>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</si>
  <si>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</si>
  <si>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</si>
  <si>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</si>
  <si>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</si>
  <si>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</si>
  <si>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</si>
  <si>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</si>
  <si>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</si>
  <si>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</si>
  <si>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</si>
  <si>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</si>
  <si>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</si>
  <si>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</si>
  <si>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</si>
  <si>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</si>
  <si>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</si>
  <si>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</si>
  <si>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</si>
  <si>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</si>
  <si>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</si>
  <si>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</si>
  <si>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</si>
  <si>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</si>
  <si>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</si>
  <si>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</si>
  <si>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</si>
  <si>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</si>
  <si>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</si>
  <si>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</si>
  <si>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</si>
  <si>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</si>
  <si>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</si>
  <si>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</si>
  <si>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</si>
  <si>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</si>
  <si>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</si>
  <si>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</si>
  <si>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</si>
  <si>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</si>
  <si>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</si>
  <si>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</si>
  <si>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</si>
  <si>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</si>
  <si>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</si>
  <si>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</si>
  <si>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</si>
  <si>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</si>
  <si>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</si>
  <si>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</si>
  <si>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</si>
  <si>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</si>
  <si>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</si>
  <si>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</si>
  <si>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</si>
  <si>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</si>
  <si>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</si>
  <si>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</si>
  <si>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</si>
  <si>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</si>
  <si>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</si>
  <si>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</si>
  <si>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</si>
  <si>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</si>
  <si>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</si>
  <si>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</si>
  <si>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</si>
  <si>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</si>
  <si>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</si>
  <si>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</si>
  <si>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</si>
  <si>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</si>
  <si>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</si>
  <si>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</si>
  <si>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</si>
  <si>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</si>
  <si>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</si>
  <si>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</si>
  <si>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</si>
  <si>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</si>
  <si>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</si>
  <si>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</si>
  <si>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</si>
  <si>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</si>
  <si>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</si>
  <si>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</si>
  <si>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</si>
  <si>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</si>
  <si>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</si>
  <si>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</si>
  <si>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</si>
  <si>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</si>
  <si>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</si>
  <si>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</si>
  <si>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</si>
  <si>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</si>
  <si>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</si>
  <si>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</si>
  <si>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</si>
  <si>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</si>
  <si>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</si>
  <si>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</si>
  <si>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</si>
  <si>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</si>
  <si>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</si>
  <si>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</si>
  <si>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</si>
  <si>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</si>
  <si>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</si>
  <si>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</si>
  <si>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</si>
  <si>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</si>
  <si>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</si>
  <si>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</si>
  <si>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</si>
  <si>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</si>
  <si>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</si>
  <si>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</si>
  <si>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</si>
  <si>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</si>
  <si>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</si>
  <si>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</si>
  <si>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</si>
  <si>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</si>
  <si>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</si>
  <si>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</si>
  <si>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</si>
  <si>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</si>
  <si>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</si>
  <si>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</si>
  <si>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</si>
  <si>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</si>
  <si>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</si>
  <si>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</si>
  <si>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</si>
  <si>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</si>
  <si>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</si>
  <si>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</si>
  <si>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</si>
  <si>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</si>
  <si>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</si>
  <si>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</si>
  <si>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</si>
  <si>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</si>
  <si>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</si>
  <si>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</si>
  <si>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</si>
  <si>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</si>
  <si>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</si>
  <si>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</si>
  <si>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</si>
  <si>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</si>
  <si>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</si>
  <si>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</si>
  <si>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</si>
  <si>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</si>
  <si>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</si>
  <si>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</si>
  <si>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</si>
  <si>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</si>
  <si>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</si>
  <si>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</si>
  <si>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</si>
  <si>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</si>
  <si>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</si>
  <si>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</si>
  <si>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</si>
  <si>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</si>
  <si>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</si>
  <si>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</si>
  <si>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</si>
  <si>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</si>
  <si>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</si>
  <si>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</si>
  <si>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</si>
  <si>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</si>
  <si>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</si>
  <si>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</si>
  <si>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</si>
  <si>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</si>
  <si>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</si>
  <si>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</si>
  <si>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</si>
  <si>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</si>
  <si>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</si>
  <si>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</si>
  <si>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</si>
  <si>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</si>
  <si>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</si>
  <si>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</si>
  <si>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</si>
  <si>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</si>
  <si>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</si>
  <si>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</si>
  <si>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</si>
  <si>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</si>
  <si>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</si>
  <si>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</si>
  <si>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</si>
  <si>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</si>
  <si>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</si>
  <si>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</si>
  <si>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</si>
  <si>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</si>
  <si>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</si>
  <si>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</si>
  <si>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</si>
  <si>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</si>
  <si>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</si>
  <si>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</si>
  <si>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</si>
  <si>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</si>
  <si>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</si>
  <si>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</si>
  <si>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</si>
  <si>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</si>
  <si>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</si>
  <si>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</si>
  <si>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</si>
  <si>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</si>
  <si>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</si>
  <si>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</si>
  <si>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</si>
  <si>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</si>
  <si>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</si>
  <si>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</si>
  <si>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</si>
  <si>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</si>
  <si>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</si>
  <si>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</si>
  <si>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</si>
  <si>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</si>
  <si>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</si>
  <si>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</si>
  <si>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</si>
  <si>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</si>
  <si>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</si>
  <si>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</si>
  <si>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</si>
  <si>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</si>
  <si>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</si>
  <si>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</si>
  <si>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</si>
  <si>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</si>
  <si>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</si>
  <si>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</si>
  <si>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</si>
  <si>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</si>
  <si>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</si>
  <si>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</si>
  <si>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</si>
  <si>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</si>
  <si>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</si>
  <si>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</si>
  <si>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</si>
  <si>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</si>
  <si>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</si>
  <si>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</si>
  <si>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</si>
  <si>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</si>
  <si>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</si>
  <si>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</si>
  <si>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</si>
  <si>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</si>
  <si>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</si>
  <si>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</si>
  <si>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</si>
  <si>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</si>
  <si>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</si>
  <si>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</si>
  <si>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</si>
  <si>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</si>
  <si>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</si>
  <si>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</si>
  <si>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</si>
  <si>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</si>
  <si>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</si>
  <si>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</si>
  <si>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</si>
  <si>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</si>
  <si>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</si>
  <si>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</si>
  <si>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</si>
  <si>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</si>
  <si>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</si>
  <si>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</si>
  <si>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</si>
  <si>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</si>
  <si>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</si>
  <si>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</si>
  <si>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</si>
  <si>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</si>
  <si>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</si>
  <si>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</si>
  <si>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</si>
  <si>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</si>
  <si>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</si>
  <si>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</si>
  <si>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</si>
  <si>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</si>
  <si>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</si>
  <si>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</si>
  <si>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</si>
  <si>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</si>
  <si>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</si>
  <si>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</si>
  <si>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</si>
  <si>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</si>
  <si>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</si>
  <si>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</si>
  <si>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</si>
  <si>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</si>
  <si>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</si>
  <si>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</si>
  <si>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</si>
  <si>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</si>
  <si>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</si>
  <si>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</si>
  <si>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</si>
  <si>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</si>
  <si>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</si>
  <si>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</si>
  <si>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</si>
  <si>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</si>
  <si>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</si>
  <si>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</si>
  <si>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</si>
  <si>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</si>
  <si>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</si>
  <si>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</si>
  <si>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</si>
  <si>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</si>
  <si>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</si>
  <si>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</si>
  <si>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</si>
  <si>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</si>
  <si>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</si>
  <si>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</si>
  <si>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</si>
  <si>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</si>
  <si>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</si>
  <si>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</si>
  <si>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</si>
  <si>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</si>
  <si>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</si>
  <si>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</si>
  <si>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</si>
  <si>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</si>
  <si>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</si>
  <si>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</si>
  <si>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</si>
  <si>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</si>
  <si>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</si>
  <si>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</si>
  <si>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</si>
  <si>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</si>
  <si>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</si>
  <si>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</si>
  <si>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</si>
  <si>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</si>
  <si>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</si>
  <si>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</si>
  <si>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</si>
  <si>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</si>
  <si>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</si>
  <si>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</si>
  <si>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</si>
  <si>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</si>
  <si>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</si>
  <si>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</si>
  <si>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</si>
  <si>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</si>
  <si>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</si>
  <si>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</si>
  <si>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</si>
  <si>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</si>
  <si>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</si>
  <si>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</si>
  <si>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</si>
  <si>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</si>
  <si>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</si>
  <si>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</si>
  <si>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</si>
  <si>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</si>
  <si>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</si>
  <si>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</si>
  <si>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</si>
  <si>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</si>
  <si>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</si>
  <si>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</si>
  <si>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</si>
  <si>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</si>
  <si>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</si>
  <si>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</si>
  <si>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</si>
  <si>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</si>
  <si>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</si>
  <si>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</si>
  <si>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</si>
  <si>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</si>
  <si>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</si>
  <si>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</si>
  <si>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</si>
  <si>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</si>
  <si>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</si>
  <si>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</si>
  <si>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</si>
  <si>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</si>
  <si>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</si>
  <si>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</si>
  <si>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</si>
  <si>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</si>
  <si>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</si>
  <si>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</si>
  <si>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</si>
  <si>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</si>
  <si>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</si>
  <si>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</si>
  <si>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</si>
  <si>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</si>
  <si>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</si>
  <si>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</si>
  <si>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</si>
  <si>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</si>
  <si>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</si>
  <si>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</si>
  <si>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</si>
  <si>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</si>
  <si>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</si>
  <si>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</si>
  <si>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</si>
  <si>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</si>
  <si>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</si>
  <si>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</si>
  <si>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</si>
  <si>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</si>
  <si>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</si>
  <si>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</si>
  <si>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</si>
  <si>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</si>
  <si>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</si>
  <si>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</si>
  <si>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</si>
  <si>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</si>
  <si>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</si>
  <si>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</si>
  <si>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</si>
  <si>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</si>
  <si>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</si>
  <si>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</si>
  <si>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</si>
  <si>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</si>
  <si>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</si>
  <si>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</si>
  <si>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</si>
  <si>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</si>
  <si>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</si>
  <si>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</si>
  <si>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</si>
  <si>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</si>
  <si>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</si>
  <si>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</si>
  <si>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</si>
  <si>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</si>
  <si>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</si>
  <si>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</si>
  <si>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</si>
  <si>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</si>
  <si>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</si>
  <si>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</si>
  <si>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</si>
  <si>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</si>
  <si>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</si>
  <si>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</si>
  <si>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</si>
  <si>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</si>
  <si>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</si>
  <si>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</si>
  <si>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</si>
  <si>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</si>
  <si>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</si>
  <si>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</si>
  <si>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</si>
  <si>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</si>
  <si>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</si>
  <si>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</si>
  <si>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</si>
  <si>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</si>
  <si>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</si>
  <si>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</si>
  <si>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</si>
  <si>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</si>
  <si>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</si>
  <si>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</si>
  <si>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</si>
  <si>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</si>
  <si>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</si>
  <si>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</si>
  <si>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</si>
  <si>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</si>
  <si>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</si>
  <si>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</si>
  <si>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</si>
  <si>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</si>
  <si>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</si>
  <si>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</si>
  <si>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</si>
  <si>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</si>
  <si>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</si>
  <si>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</si>
  <si>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</si>
  <si>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</si>
  <si>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</si>
  <si>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</si>
  <si>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</si>
  <si>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</si>
  <si>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</si>
  <si>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</si>
  <si>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</si>
  <si>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</si>
  <si>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</si>
  <si>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</si>
  <si>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</si>
  <si>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</si>
  <si>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</si>
  <si>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</si>
  <si>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</si>
  <si>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</si>
  <si>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</si>
  <si>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</si>
  <si>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</si>
  <si>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</si>
  <si>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</si>
  <si>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</si>
  <si>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</si>
  <si>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</si>
  <si>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</si>
  <si>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</si>
  <si>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</si>
  <si>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</si>
  <si>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</si>
  <si>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</si>
  <si>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</si>
  <si>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</si>
  <si>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</si>
  <si>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</si>
  <si>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</si>
  <si>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</si>
  <si>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</si>
  <si>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</si>
  <si>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</si>
  <si>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</si>
  <si>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</si>
  <si>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</si>
  <si>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</si>
  <si>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</si>
  <si>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</si>
  <si>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</si>
  <si>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</si>
  <si>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</si>
  <si>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</si>
  <si>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</si>
  <si>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</si>
  <si>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</si>
  <si>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</si>
  <si>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</si>
  <si>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</si>
  <si>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</si>
  <si>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</si>
  <si>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</si>
  <si>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</si>
  <si>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</si>
  <si>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</si>
  <si>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</si>
  <si>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</si>
  <si>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</si>
  <si>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</si>
  <si>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</si>
  <si>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</si>
  <si>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</si>
  <si>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</si>
  <si>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</si>
  <si>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</si>
  <si>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</si>
  <si>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</si>
  <si>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</si>
  <si>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</si>
  <si>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</si>
  <si>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</si>
  <si>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</si>
  <si>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</si>
  <si>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</si>
  <si>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</si>
  <si>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</si>
  <si>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</si>
  <si>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</si>
  <si>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</si>
  <si>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</si>
  <si>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</si>
  <si>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</si>
  <si>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</si>
  <si>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</si>
  <si>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</si>
  <si>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</si>
  <si>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</si>
  <si>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</si>
  <si>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</si>
  <si>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</si>
  <si>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</si>
  <si>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</si>
  <si>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</si>
  <si>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</si>
  <si>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</si>
  <si>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</si>
  <si>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</si>
  <si>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</si>
  <si>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</si>
  <si>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</si>
  <si>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</si>
  <si>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</si>
  <si>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</si>
  <si>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</si>
  <si>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</si>
  <si>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</si>
  <si>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</si>
  <si>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</si>
  <si>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</si>
  <si>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</si>
  <si>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</si>
  <si>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</si>
  <si>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</si>
  <si>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</si>
  <si>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</si>
  <si>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</si>
  <si>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</si>
  <si>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</si>
  <si>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</si>
  <si>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</si>
  <si>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</si>
  <si>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</si>
  <si>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</si>
  <si>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</si>
  <si>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</si>
  <si>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</si>
  <si>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 xml:space="preserve"> </t>
  </si>
  <si>
    <t xml:space="preserve">Sr. no </t>
  </si>
  <si>
    <t>Average of Rating</t>
  </si>
  <si>
    <t>Total Sales</t>
  </si>
  <si>
    <t>Avg Sales</t>
  </si>
  <si>
    <t>No of Items</t>
  </si>
  <si>
    <t>Avg Rating</t>
  </si>
  <si>
    <t>KPI's Requirement</t>
  </si>
  <si>
    <t>Row Labels</t>
  </si>
  <si>
    <t>Grand Total</t>
  </si>
  <si>
    <t>Total Sales by Fat Content</t>
  </si>
  <si>
    <t>Column Labels</t>
  </si>
  <si>
    <t>Sum of Total Sales</t>
  </si>
  <si>
    <t>Average of Total Sales</t>
  </si>
  <si>
    <t xml:space="preserve">Count of Sr. no </t>
  </si>
  <si>
    <t>Total Sales by Item Type</t>
  </si>
  <si>
    <t>Fat content by outlet for total sales</t>
  </si>
  <si>
    <t>Sales by outlet location</t>
  </si>
  <si>
    <t>Sales by Average</t>
  </si>
  <si>
    <t>Count of Total Sales</t>
  </si>
  <si>
    <t>Sales by Outlet size</t>
  </si>
  <si>
    <t>Sales by Outlet Establishment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</si>
</sst>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
    <numFmt numFmtId="165" formatCode="&quot;$&quot;0.00,,\ &quot;M&quot;"/>
    <numFmt numFmtId="166" formatCode="&quot;$&quot;\ 0"/>
    <numFmt numFmtId="167" formatCode="0.0"/>
    <numFmt numFmtId="168"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0" fillId="0" borderId="14" xfId="0" applyBorder="1"/>
    <xf numFmtId="0" fontId="0" fillId="0" borderId="0" xfId="0" applyBorder="1"/>
    <xf numFmtId="0" fontId="0" fillId="0" borderId="15" xfId="0" applyBorder="1"/>
    <xf numFmtId="0" fontId="0" fillId="0" borderId="17" xfId="0" applyBorder="1"/>
    <xf numFmtId="0" fontId="0" fillId="0" borderId="13" xfId="0" applyBorder="1"/>
    <xf numFmtId="0" fontId="0" fillId="0" borderId="20" xfId="0" applyNumberFormat="1" applyBorder="1"/>
    <xf numFmtId="0" fontId="0" fillId="0" borderId="19" xfId="0" applyBorder="1"/>
    <xf numFmtId="0" fontId="0" fillId="0" borderId="20" xfId="0" applyBorder="1"/>
    <xf numFmtId="0" fontId="0" fillId="0" borderId="21" xfId="0" applyBorder="1"/>
    <xf numFmtId="0" fontId="0" fillId="0" borderId="14" xfId="0" applyBorder="1" applyAlignment="1">
      <alignment horizontal="left"/>
    </xf>
    <xf numFmtId="0" fontId="0" fillId="0" borderId="16"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10" xfId="0" applyBorder="1" applyAlignment="1">
      <alignment horizontal="left"/>
    </xf>
    <xf numFmtId="0" fontId="0" fillId="0" borderId="24" xfId="0" applyBorder="1" applyAlignment="1">
      <alignment horizontal="left"/>
    </xf>
    <xf numFmtId="0" fontId="0" fillId="0" borderId="22" xfId="0" applyBorder="1" applyAlignment="1">
      <alignment horizontal="left"/>
    </xf>
    <xf numFmtId="0" fontId="0" fillId="0" borderId="11" xfId="0" applyBorder="1"/>
    <xf numFmtId="0" fontId="0" fillId="0" borderId="0" xfId="0" applyAlignment="1">
      <alignment horizontal="right"/>
    </xf>
    <xf numFmtId="0" fontId="0" fillId="0" borderId="12" xfId="0" applyBorder="1"/>
    <xf numFmtId="165" fontId="0" fillId="0" borderId="14" xfId="0" applyNumberFormat="1" applyBorder="1"/>
    <xf numFmtId="166" fontId="0" fillId="0" borderId="0" xfId="0" applyNumberFormat="1" applyBorder="1"/>
    <xf numFmtId="0" fontId="0" fillId="0" borderId="0" xfId="0" applyNumberFormat="1" applyBorder="1"/>
    <xf numFmtId="167" fontId="0" fillId="0" borderId="15" xfId="0" applyNumberFormat="1" applyBorder="1"/>
    <xf numFmtId="0" fontId="0" fillId="0" borderId="14" xfId="0" applyBorder="1" applyAlignment="1">
      <alignment horizontal="right"/>
    </xf>
    <xf numFmtId="0" fontId="0" fillId="0" borderId="0" xfId="0" applyBorder="1" applyAlignment="1">
      <alignment horizontal="right"/>
    </xf>
    <xf numFmtId="0" fontId="0" fillId="0" borderId="15" xfId="0" applyBorder="1" applyAlignment="1">
      <alignment horizontal="right"/>
    </xf>
    <xf numFmtId="167" fontId="0" fillId="0" borderId="21" xfId="0" applyNumberFormat="1" applyBorder="1"/>
    <xf numFmtId="165" fontId="0" fillId="0" borderId="19" xfId="0" applyNumberFormat="1" applyBorder="1"/>
    <xf numFmtId="166" fontId="0" fillId="0" borderId="20" xfId="0" applyNumberFormat="1" applyBorder="1"/>
    <xf numFmtId="168" fontId="0" fillId="0" borderId="23" xfId="0" applyNumberFormat="1" applyBorder="1"/>
    <xf numFmtId="168" fontId="0" fillId="0" borderId="22" xfId="0" applyNumberFormat="1" applyBorder="1"/>
    <xf numFmtId="168" fontId="0" fillId="0" borderId="24" xfId="0" applyNumberFormat="1" applyBorder="1"/>
    <xf numFmtId="168" fontId="0" fillId="0" borderId="15" xfId="0" applyNumberFormat="1" applyBorder="1"/>
    <xf numFmtId="168" fontId="0" fillId="0" borderId="18" xfId="0" applyNumberFormat="1" applyBorder="1"/>
    <xf numFmtId="168" fontId="0" fillId="0" borderId="11" xfId="0" applyNumberFormat="1" applyBorder="1"/>
    <xf numFmtId="168" fontId="0" fillId="0" borderId="13" xfId="0" applyNumberFormat="1" applyBorder="1"/>
    <xf numFmtId="168" fontId="0" fillId="0" borderId="14" xfId="0" applyNumberFormat="1" applyBorder="1"/>
    <xf numFmtId="168" fontId="0" fillId="0" borderId="16" xfId="0" applyNumberFormat="1" applyBorder="1"/>
    <xf numFmtId="0" fontId="0" fillId="0" borderId="10" xfId="0" applyBorder="1"/>
    <xf numFmtId="0" fontId="0" fillId="0" borderId="23" xfId="0" applyBorder="1" applyAlignment="1">
      <alignment horizontal="left"/>
    </xf>
    <xf numFmtId="164" fontId="0" fillId="0" borderId="22" xfId="0" applyNumberFormat="1" applyBorder="1"/>
    <xf numFmtId="164" fontId="0" fillId="0" borderId="23" xfId="0" applyNumberFormat="1" applyBorder="1"/>
    <xf numFmtId="164" fontId="0" fillId="0" borderId="24" xfId="0" applyNumberFormat="1" applyBorder="1"/>
    <xf numFmtId="1" fontId="0" fillId="0" borderId="22" xfId="0" applyNumberFormat="1" applyBorder="1"/>
    <xf numFmtId="1" fontId="0" fillId="0" borderId="23" xfId="0" applyNumberFormat="1" applyBorder="1"/>
    <xf numFmtId="1" fontId="0" fillId="0" borderId="24" xfId="0" applyNumberFormat="1" applyBorder="1"/>
    <xf numFmtId="0" fontId="14" fillId="33" borderId="14" xfId="0" applyFont="1" applyFill="1" applyBorder="1" applyAlignment="1">
      <alignment horizontal="center"/>
    </xf>
    <xf numFmtId="0" fontId="0" fillId="33" borderId="0" xfId="0" applyFill="1" applyBorder="1" applyAlignment="1">
      <alignment horizontal="center"/>
    </xf>
    <xf numFmtId="0" fontId="0" fillId="33" borderId="15" xfId="0" applyFill="1" applyBorder="1" applyAlignment="1">
      <alignment horizontal="center"/>
    </xf>
    <xf numFmtId="0" fontId="18" fillId="33" borderId="14" xfId="0" applyFont="1" applyFill="1" applyBorder="1" applyAlignment="1">
      <alignment horizontal="center"/>
    </xf>
    <xf numFmtId="0" fontId="16" fillId="33" borderId="0" xfId="0" applyFont="1" applyFill="1" applyBorder="1" applyAlignment="1">
      <alignment horizontal="center"/>
    </xf>
    <xf numFmtId="0" fontId="16" fillId="33" borderId="15" xfId="0" applyFont="1" applyFill="1" applyBorder="1" applyAlignment="1">
      <alignment horizontal="center"/>
    </xf>
    <xf numFmtId="0" fontId="18"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8" fillId="33" borderId="16" xfId="0" applyFont="1" applyFill="1" applyBorder="1" applyAlignment="1">
      <alignment horizontal="center"/>
    </xf>
    <xf numFmtId="0" fontId="18" fillId="33" borderId="17" xfId="0" applyFont="1"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
    </dxf>
    <dxf>
      <numFmt numFmtId="166" formatCode="&quot;$&quot;\ 0"/>
    </dxf>
    <dxf>
      <numFmt numFmtId="165" formatCode="&quot;$&quot;0.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FAT CONTENT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6">
              <a:lumMod val="50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lumMod val="75000"/>
            </a:schemeClr>
          </a:solidFill>
          <a:ln w="19050">
            <a:solidFill>
              <a:schemeClr val="lt1"/>
            </a:solidFill>
          </a:ln>
          <a:effectLst/>
        </c:spPr>
        <c:dLbl>
          <c:idx val="0"/>
          <c:layout>
            <c:manualLayout>
              <c:x val="0.14712801797020128"/>
              <c:y val="-0.134685625253408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5D908FA-3BF7-48B6-92EE-018CC787A6E1}" type="VALUE">
                  <a:rPr lang="en-US" sz="1100" b="1">
                    <a:solidFill>
                      <a:schemeClr val="accent4">
                        <a:lumMod val="75000"/>
                      </a:schemeClr>
                    </a:solidFill>
                  </a:rPr>
                  <a:pPr>
                    <a:defRPr/>
                  </a:pPr>
                  <a:t>[VALUE]</a:t>
                </a:fld>
                <a:endParaRPr lang="en-US" sz="1100" b="1" baseline="0">
                  <a:solidFill>
                    <a:schemeClr val="accent4">
                      <a:lumMod val="75000"/>
                    </a:schemeClr>
                  </a:solidFill>
                </a:endParaRPr>
              </a:p>
              <a:p>
                <a:pPr>
                  <a:defRPr/>
                </a:pPr>
                <a:r>
                  <a:rPr lang="en-US" sz="1100" b="1" baseline="0">
                    <a:solidFill>
                      <a:schemeClr val="accent4">
                        <a:lumMod val="75000"/>
                      </a:schemeClr>
                    </a:solidFill>
                  </a:rPr>
                  <a:t> </a:t>
                </a:r>
                <a:fld id="{095EF586-154D-4B51-9BBB-246C6D82DA5C}" type="PERCENTAGE">
                  <a:rPr lang="en-US" sz="1100" b="1" baseline="0">
                    <a:solidFill>
                      <a:schemeClr val="accent4">
                        <a:lumMod val="75000"/>
                      </a:schemeClr>
                    </a:solidFill>
                  </a:rPr>
                  <a:pPr>
                    <a:defRPr/>
                  </a:pPr>
                  <a:t>[PERCENTAGE]</a:t>
                </a:fld>
                <a:endParaRPr lang="en-US" sz="1100" b="1" baseline="0">
                  <a:solidFill>
                    <a:schemeClr val="accent4">
                      <a:lumMod val="75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45344110747218"/>
                  <c:h val="0.2740117892503256"/>
                </c:manualLayout>
              </c15:layout>
              <c15:dlblFieldTable/>
              <c15:showDataLabelsRange val="0"/>
            </c:ext>
          </c:extLst>
        </c:dLbl>
      </c:pivotFmt>
      <c:pivotFmt>
        <c:idx val="3"/>
        <c:spPr>
          <a:solidFill>
            <a:schemeClr val="accent6">
              <a:lumMod val="50000"/>
            </a:schemeClr>
          </a:solidFill>
          <a:ln w="19050">
            <a:solidFill>
              <a:schemeClr val="lt1"/>
            </a:solidFill>
          </a:ln>
          <a:effectLst/>
        </c:spPr>
        <c:dLbl>
          <c:idx val="0"/>
          <c:layout>
            <c:manualLayout>
              <c:x val="-0.12522308833202422"/>
              <c:y val="3.772930365018804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B22487B-50F8-4EEC-9F58-9249C5A50613}" type="VALUE">
                  <a:rPr lang="en-US" sz="1100" b="1">
                    <a:solidFill>
                      <a:schemeClr val="accent6">
                        <a:lumMod val="50000"/>
                      </a:schemeClr>
                    </a:solidFill>
                  </a:rPr>
                  <a:pPr>
                    <a:defRPr/>
                  </a:pPr>
                  <a:t>[VALUE]</a:t>
                </a:fld>
                <a:endParaRPr lang="en-US" sz="1100" b="1" baseline="0">
                  <a:solidFill>
                    <a:schemeClr val="accent6">
                      <a:lumMod val="50000"/>
                    </a:schemeClr>
                  </a:solidFill>
                </a:endParaRPr>
              </a:p>
              <a:p>
                <a:pPr>
                  <a:defRPr/>
                </a:pPr>
                <a:r>
                  <a:rPr lang="en-US" sz="1100" b="1" baseline="0">
                    <a:solidFill>
                      <a:schemeClr val="accent6">
                        <a:lumMod val="50000"/>
                      </a:schemeClr>
                    </a:solidFill>
                  </a:rPr>
                  <a:t> </a:t>
                </a:r>
                <a:fld id="{1B65CE1F-D149-43F6-9D23-95A286A02E32}" type="PERCENTAGE">
                  <a:rPr lang="en-US" sz="1100" b="1" baseline="0">
                    <a:solidFill>
                      <a:schemeClr val="accent6">
                        <a:lumMod val="50000"/>
                      </a:schemeClr>
                    </a:solidFill>
                  </a:rPr>
                  <a:pPr>
                    <a:defRPr/>
                  </a:pPr>
                  <a:t>[PERCENTAGE]</a:t>
                </a:fld>
                <a:endParaRPr lang="en-US" sz="1100" b="1" baseline="0">
                  <a:solidFill>
                    <a:schemeClr val="accent6">
                      <a:lumMod val="50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454004380839255"/>
                  <c:h val="0.29298157317964119"/>
                </c:manualLayout>
              </c15:layout>
              <c15:dlblFieldTable/>
              <c15:showDataLabelsRange val="0"/>
            </c:ext>
          </c:extLst>
        </c:dLbl>
      </c:pivotFmt>
    </c:pivotFmts>
    <c:plotArea>
      <c:layout/>
      <c:doughnutChart>
        <c:varyColors val="1"/>
        <c:ser>
          <c:idx val="0"/>
          <c:order val="0"/>
          <c:tx>
            <c:strRef>
              <c:f>Sheet5!$B$14</c:f>
              <c:strCache>
                <c:ptCount val="1"/>
                <c:pt idx="0">
                  <c:v>Total</c:v>
                </c:pt>
              </c:strCache>
            </c:strRef>
          </c:tx>
          <c:spPr>
            <a:solidFill>
              <a:schemeClr val="accent6">
                <a:lumMod val="50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A719-44BE-BAFF-AD68A75C518E}"/>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A719-44BE-BAFF-AD68A75C518E}"/>
              </c:ext>
            </c:extLst>
          </c:dPt>
          <c:dLbls>
            <c:dLbl>
              <c:idx val="0"/>
              <c:layout>
                <c:manualLayout>
                  <c:x val="0.14712801797020128"/>
                  <c:y val="-0.134685625253408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5D908FA-3BF7-48B6-92EE-018CC787A6E1}" type="VALUE">
                      <a:rPr lang="en-US" sz="1100" b="1">
                        <a:solidFill>
                          <a:schemeClr val="accent4">
                            <a:lumMod val="75000"/>
                          </a:schemeClr>
                        </a:solidFill>
                      </a:rPr>
                      <a:pPr>
                        <a:defRPr/>
                      </a:pPr>
                      <a:t>[VALUE]</a:t>
                    </a:fld>
                    <a:endParaRPr lang="en-US" sz="1100" b="1" baseline="0">
                      <a:solidFill>
                        <a:schemeClr val="accent4">
                          <a:lumMod val="75000"/>
                        </a:schemeClr>
                      </a:solidFill>
                    </a:endParaRPr>
                  </a:p>
                  <a:p>
                    <a:pPr>
                      <a:defRPr/>
                    </a:pPr>
                    <a:r>
                      <a:rPr lang="en-US" sz="1100" b="1" baseline="0">
                        <a:solidFill>
                          <a:schemeClr val="accent4">
                            <a:lumMod val="75000"/>
                          </a:schemeClr>
                        </a:solidFill>
                      </a:rPr>
                      <a:t> </a:t>
                    </a:r>
                    <a:fld id="{095EF586-154D-4B51-9BBB-246C6D82DA5C}" type="PERCENTAGE">
                      <a:rPr lang="en-US" sz="1100" b="1" baseline="0">
                        <a:solidFill>
                          <a:schemeClr val="accent4">
                            <a:lumMod val="75000"/>
                          </a:schemeClr>
                        </a:solidFill>
                      </a:rPr>
                      <a:pPr>
                        <a:defRPr/>
                      </a:pPr>
                      <a:t>[PERCENTAGE]</a:t>
                    </a:fld>
                    <a:endParaRPr lang="en-US" sz="1100" b="1" baseline="0">
                      <a:solidFill>
                        <a:schemeClr val="accent4">
                          <a:lumMod val="75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45344110747218"/>
                      <c:h val="0.2740117892503256"/>
                    </c:manualLayout>
                  </c15:layout>
                  <c15:dlblFieldTable/>
                  <c15:showDataLabelsRange val="0"/>
                </c:ext>
                <c:ext xmlns:c16="http://schemas.microsoft.com/office/drawing/2014/chart" uri="{C3380CC4-5D6E-409C-BE32-E72D297353CC}">
                  <c16:uniqueId val="{00000001-A719-44BE-BAFF-AD68A75C518E}"/>
                </c:ext>
              </c:extLst>
            </c:dLbl>
            <c:dLbl>
              <c:idx val="1"/>
              <c:layout>
                <c:manualLayout>
                  <c:x val="-0.12522308833202422"/>
                  <c:y val="3.772930365018804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B22487B-50F8-4EEC-9F58-9249C5A50613}" type="VALUE">
                      <a:rPr lang="en-US" sz="1100" b="1">
                        <a:solidFill>
                          <a:schemeClr val="accent6">
                            <a:lumMod val="50000"/>
                          </a:schemeClr>
                        </a:solidFill>
                      </a:rPr>
                      <a:pPr>
                        <a:defRPr/>
                      </a:pPr>
                      <a:t>[VALUE]</a:t>
                    </a:fld>
                    <a:endParaRPr lang="en-US" sz="1100" b="1" baseline="0">
                      <a:solidFill>
                        <a:schemeClr val="accent6">
                          <a:lumMod val="50000"/>
                        </a:schemeClr>
                      </a:solidFill>
                    </a:endParaRPr>
                  </a:p>
                  <a:p>
                    <a:pPr>
                      <a:defRPr/>
                    </a:pPr>
                    <a:r>
                      <a:rPr lang="en-US" sz="1100" b="1" baseline="0">
                        <a:solidFill>
                          <a:schemeClr val="accent6">
                            <a:lumMod val="50000"/>
                          </a:schemeClr>
                        </a:solidFill>
                      </a:rPr>
                      <a:t> </a:t>
                    </a:r>
                    <a:fld id="{1B65CE1F-D149-43F6-9D23-95A286A02E32}" type="PERCENTAGE">
                      <a:rPr lang="en-US" sz="1100" b="1" baseline="0">
                        <a:solidFill>
                          <a:schemeClr val="accent6">
                            <a:lumMod val="50000"/>
                          </a:schemeClr>
                        </a:solidFill>
                      </a:rPr>
                      <a:pPr>
                        <a:defRPr/>
                      </a:pPr>
                      <a:t>[PERCENTAGE]</a:t>
                    </a:fld>
                    <a:endParaRPr lang="en-US" sz="1100" b="1" baseline="0">
                      <a:solidFill>
                        <a:schemeClr val="accent6">
                          <a:lumMod val="50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454004380839255"/>
                      <c:h val="0.29298157317964119"/>
                    </c:manualLayout>
                  </c15:layout>
                  <c15:dlblFieldTable/>
                  <c15:showDataLabelsRange val="0"/>
                </c:ext>
                <c:ext xmlns:c16="http://schemas.microsoft.com/office/drawing/2014/chart" uri="{C3380CC4-5D6E-409C-BE32-E72D297353CC}">
                  <c16:uniqueId val="{00000003-A719-44BE-BAFF-AD68A75C518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Sheet5!$A$15:$A$17</c:f>
              <c:strCache>
                <c:ptCount val="2"/>
                <c:pt idx="0">
                  <c:v>Low Fat</c:v>
                </c:pt>
                <c:pt idx="1">
                  <c:v>Regular</c:v>
                </c:pt>
              </c:strCache>
            </c:strRef>
          </c:cat>
          <c:val>
            <c:numRef>
              <c:f>Sheet5!$B$15:$B$17</c:f>
              <c:numCache>
                <c:formatCode>"$"0.0,"k"</c:formatCode>
                <c:ptCount val="2"/>
                <c:pt idx="0">
                  <c:v>776319.68840000057</c:v>
                </c:pt>
                <c:pt idx="1">
                  <c:v>425249.54999999952</c:v>
                </c:pt>
              </c:numCache>
            </c:numRef>
          </c:val>
          <c:extLst>
            <c:ext xmlns:c16="http://schemas.microsoft.com/office/drawing/2014/chart" uri="{C3380CC4-5D6E-409C-BE32-E72D297353CC}">
              <c16:uniqueId val="{00000000-F137-4FB3-9491-B884C14B909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FAT BY OUTLET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4">
              <a:lumMod val="75000"/>
            </a:schemeClr>
          </a:solidFill>
          <a:ln w="0" cmpd="sng">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Sheet5!$B$30:$B$31</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Sheet5!$A$32:$A$34</c:f>
              <c:strCache>
                <c:ptCount val="3"/>
                <c:pt idx="0">
                  <c:v>Tier 1</c:v>
                </c:pt>
                <c:pt idx="1">
                  <c:v>Tier 2</c:v>
                </c:pt>
                <c:pt idx="2">
                  <c:v>Tier 3</c:v>
                </c:pt>
              </c:strCache>
            </c:strRef>
          </c:cat>
          <c:val>
            <c:numRef>
              <c:f>Sheet5!$B$32:$B$34</c:f>
              <c:numCache>
                <c:formatCode>"$"0.0,"k"</c:formatCode>
                <c:ptCount val="3"/>
                <c:pt idx="0">
                  <c:v>121349.89940000001</c:v>
                </c:pt>
                <c:pt idx="1">
                  <c:v>138685.86819999994</c:v>
                </c:pt>
                <c:pt idx="2">
                  <c:v>165213.7824</c:v>
                </c:pt>
              </c:numCache>
            </c:numRef>
          </c:val>
          <c:extLst>
            <c:ext xmlns:c16="http://schemas.microsoft.com/office/drawing/2014/chart" uri="{C3380CC4-5D6E-409C-BE32-E72D297353CC}">
              <c16:uniqueId val="{00000000-E45D-457C-8AFA-B09D51B196DF}"/>
            </c:ext>
          </c:extLst>
        </c:ser>
        <c:ser>
          <c:idx val="1"/>
          <c:order val="1"/>
          <c:tx>
            <c:strRef>
              <c:f>Sheet5!$C$30:$C$31</c:f>
              <c:strCache>
                <c:ptCount val="1"/>
                <c:pt idx="0">
                  <c:v>Low Fat</c:v>
                </c:pt>
              </c:strCache>
            </c:strRef>
          </c:tx>
          <c:spPr>
            <a:solidFill>
              <a:schemeClr val="accent4">
                <a:lumMod val="75000"/>
              </a:schemeClr>
            </a:solidFill>
            <a:ln w="0" cmpd="sng">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Sheet5!$A$32:$A$34</c:f>
              <c:strCache>
                <c:ptCount val="3"/>
                <c:pt idx="0">
                  <c:v>Tier 1</c:v>
                </c:pt>
                <c:pt idx="1">
                  <c:v>Tier 2</c:v>
                </c:pt>
                <c:pt idx="2">
                  <c:v>Tier 3</c:v>
                </c:pt>
              </c:strCache>
            </c:strRef>
          </c:cat>
          <c:val>
            <c:numRef>
              <c:f>Sheet5!$C$32:$C$34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45D-457C-8AFA-B09D51B196DF}"/>
            </c:ext>
          </c:extLst>
        </c:ser>
        <c:dLbls>
          <c:dLblPos val="outEnd"/>
          <c:showLegendKey val="0"/>
          <c:showVal val="1"/>
          <c:showCatName val="0"/>
          <c:showSerName val="0"/>
          <c:showPercent val="0"/>
          <c:showBubbleSize val="0"/>
        </c:dLbls>
        <c:gapWidth val="46"/>
        <c:axId val="445831640"/>
        <c:axId val="445831968"/>
      </c:barChart>
      <c:catAx>
        <c:axId val="4458316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31968"/>
        <c:crosses val="autoZero"/>
        <c:auto val="1"/>
        <c:lblAlgn val="ctr"/>
        <c:lblOffset val="100"/>
        <c:noMultiLvlLbl val="0"/>
      </c:catAx>
      <c:valAx>
        <c:axId val="445831968"/>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3164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Item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507737105380908"/>
          <c:y val="0.22069792537762434"/>
          <c:w val="0.74704306999792969"/>
          <c:h val="0.70850548255600543"/>
        </c:manualLayout>
      </c:layout>
      <c:barChart>
        <c:barDir val="bar"/>
        <c:grouping val="clustered"/>
        <c:varyColors val="0"/>
        <c:ser>
          <c:idx val="0"/>
          <c:order val="0"/>
          <c:tx>
            <c:strRef>
              <c:f>Sheet5!$B$44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Sheet5!$A$45:$A$60</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Sheet5!$B$45:$B$60</c:f>
              <c:numCache>
                <c:formatCode>"$"0.0,"k"</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5AC0-4060-B456-0A595AF42172}"/>
            </c:ext>
          </c:extLst>
        </c:ser>
        <c:dLbls>
          <c:dLblPos val="outEnd"/>
          <c:showLegendKey val="0"/>
          <c:showVal val="1"/>
          <c:showCatName val="0"/>
          <c:showSerName val="0"/>
          <c:showPercent val="0"/>
          <c:showBubbleSize val="0"/>
        </c:dLbls>
        <c:gapWidth val="182"/>
        <c:axId val="449854976"/>
        <c:axId val="449849072"/>
      </c:barChart>
      <c:catAx>
        <c:axId val="44985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849072"/>
        <c:crosses val="autoZero"/>
        <c:auto val="1"/>
        <c:lblAlgn val="ctr"/>
        <c:lblOffset val="100"/>
        <c:noMultiLvlLbl val="0"/>
      </c:catAx>
      <c:valAx>
        <c:axId val="449849072"/>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85497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out</a:t>
            </a:r>
            <a:r>
              <a:rPr lang="en-US"/>
              <a:t>let Establishment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224759405074366"/>
          <c:y val="0.19486111111111112"/>
          <c:w val="0.73495603674540677"/>
          <c:h val="0.72088764946048411"/>
        </c:manualLayout>
      </c:layout>
      <c:barChart>
        <c:barDir val="col"/>
        <c:grouping val="clustered"/>
        <c:varyColors val="0"/>
        <c:ser>
          <c:idx val="0"/>
          <c:order val="0"/>
          <c:tx>
            <c:strRef>
              <c:f>Sheet5!$B$65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Sheet5!$A$66:$A$74</c:f>
              <c:strCache>
                <c:ptCount val="9"/>
                <c:pt idx="0">
                  <c:v>2011</c:v>
                </c:pt>
                <c:pt idx="1">
                  <c:v>2012</c:v>
                </c:pt>
                <c:pt idx="2">
                  <c:v>2014</c:v>
                </c:pt>
                <c:pt idx="3">
                  <c:v>2015</c:v>
                </c:pt>
                <c:pt idx="4">
                  <c:v>2016</c:v>
                </c:pt>
                <c:pt idx="5">
                  <c:v>2017</c:v>
                </c:pt>
                <c:pt idx="6">
                  <c:v>2018</c:v>
                </c:pt>
                <c:pt idx="7">
                  <c:v>2020</c:v>
                </c:pt>
                <c:pt idx="8">
                  <c:v>2022</c:v>
                </c:pt>
              </c:strCache>
            </c:strRef>
          </c:cat>
          <c:val>
            <c:numRef>
              <c:f>Sheet5!$B$66:$B$74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0D6-4673-8193-02CEFBD4BCE1}"/>
            </c:ext>
          </c:extLst>
        </c:ser>
        <c:dLbls>
          <c:dLblPos val="outEnd"/>
          <c:showLegendKey val="0"/>
          <c:showVal val="1"/>
          <c:showCatName val="0"/>
          <c:showSerName val="0"/>
          <c:showPercent val="0"/>
          <c:showBubbleSize val="0"/>
        </c:dLbls>
        <c:gapWidth val="219"/>
        <c:overlap val="-27"/>
        <c:axId val="449113536"/>
        <c:axId val="449115504"/>
      </c:barChart>
      <c:catAx>
        <c:axId val="44911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15504"/>
        <c:crosses val="autoZero"/>
        <c:auto val="1"/>
        <c:lblAlgn val="ctr"/>
        <c:lblOffset val="100"/>
        <c:noMultiLvlLbl val="0"/>
      </c:catAx>
      <c:valAx>
        <c:axId val="449115504"/>
        <c:scaling>
          <c:orientation val="minMax"/>
        </c:scaling>
        <c:delete val="1"/>
        <c:axPos val="l"/>
        <c:numFmt formatCode="&quot;$&quot;0.0,&quot;k&quot;" sourceLinked="1"/>
        <c:majorTickMark val="out"/>
        <c:minorTickMark val="none"/>
        <c:tickLblPos val="nextTo"/>
        <c:crossAx val="449113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s>
    <c:plotArea>
      <c:layout/>
      <c:pieChart>
        <c:varyColors val="1"/>
        <c:ser>
          <c:idx val="0"/>
          <c:order val="0"/>
          <c:tx>
            <c:strRef>
              <c:f>Sheet5!$B$82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35-4E3A-BD2D-37F351C017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3B-4B76-A7CD-2F196F2CF8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3B-4B76-A7CD-2F196F2CF85A}"/>
              </c:ext>
            </c:extLst>
          </c:dPt>
          <c:cat>
            <c:strRef>
              <c:f>Sheet5!$A$83:$A$85</c:f>
              <c:strCache>
                <c:ptCount val="3"/>
                <c:pt idx="0">
                  <c:v>High</c:v>
                </c:pt>
                <c:pt idx="1">
                  <c:v>Medium</c:v>
                </c:pt>
                <c:pt idx="2">
                  <c:v>Small</c:v>
                </c:pt>
              </c:strCache>
            </c:strRef>
          </c:cat>
          <c:val>
            <c:numRef>
              <c:f>Sheet5!$B$83:$B$85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637-4162-AE87-01702497740C}"/>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Outlet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Sheet5!$B$97</c:f>
              <c:strCache>
                <c:ptCount val="1"/>
                <c:pt idx="0">
                  <c:v>Total</c:v>
                </c:pt>
              </c:strCache>
            </c:strRef>
          </c:tx>
          <c:spPr>
            <a:solidFill>
              <a:schemeClr val="accent1"/>
            </a:solidFill>
            <a:ln>
              <a:noFill/>
            </a:ln>
            <a:effectLst/>
            <a:sp3d/>
          </c:spPr>
          <c:invertIfNegative val="0"/>
          <c:cat>
            <c:strRef>
              <c:f>Sheet5!$A$98:$A$100</c:f>
              <c:strCache>
                <c:ptCount val="3"/>
                <c:pt idx="0">
                  <c:v>Tier 1</c:v>
                </c:pt>
                <c:pt idx="1">
                  <c:v>Tier 2</c:v>
                </c:pt>
                <c:pt idx="2">
                  <c:v>Tier 3</c:v>
                </c:pt>
              </c:strCache>
            </c:strRef>
          </c:cat>
          <c:val>
            <c:numRef>
              <c:f>Sheet5!$B$98:$B$100</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E323-4DF9-947D-C0C2101BFA49}"/>
            </c:ext>
          </c:extLst>
        </c:ser>
        <c:dLbls>
          <c:showLegendKey val="0"/>
          <c:showVal val="0"/>
          <c:showCatName val="0"/>
          <c:showSerName val="0"/>
          <c:showPercent val="0"/>
          <c:showBubbleSize val="0"/>
        </c:dLbls>
        <c:gapWidth val="150"/>
        <c:shape val="box"/>
        <c:axId val="552458904"/>
        <c:axId val="552459232"/>
        <c:axId val="0"/>
      </c:bar3DChart>
      <c:catAx>
        <c:axId val="552458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459232"/>
        <c:crosses val="autoZero"/>
        <c:auto val="1"/>
        <c:lblAlgn val="ctr"/>
        <c:lblOffset val="100"/>
        <c:noMultiLvlLbl val="0"/>
      </c:catAx>
      <c:valAx>
        <c:axId val="5524592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458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a:t>
            </a: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Sheet5!$A$117:$A$120</c:f>
              <c:strCache>
                <c:ptCount val="4"/>
                <c:pt idx="0">
                  <c:v>Grocery Store</c:v>
                </c:pt>
                <c:pt idx="1">
                  <c:v>Supermarket Type3</c:v>
                </c:pt>
                <c:pt idx="2">
                  <c:v>Supermarket Type2</c:v>
                </c:pt>
                <c:pt idx="3">
                  <c:v>Supermarket Type1</c:v>
                </c:pt>
              </c:strCache>
            </c:strRef>
          </c:cat>
          <c:val>
            <c:numRef>
              <c:f>Sheet5!$B$117:$B$120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04C-4AAA-A7DB-8AF17612BD8D}"/>
            </c:ext>
          </c:extLst>
        </c:ser>
        <c:dLbls>
          <c:dLblPos val="outEnd"/>
          <c:showLegendKey val="0"/>
          <c:showVal val="1"/>
          <c:showCatName val="0"/>
          <c:showSerName val="0"/>
          <c:showPercent val="0"/>
          <c:showBubbleSize val="0"/>
        </c:dLbls>
        <c:gapWidth val="182"/>
        <c:axId val="471181496"/>
        <c:axId val="471175920"/>
      </c:barChart>
      <c:catAx>
        <c:axId val="471181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75920"/>
        <c:crosses val="autoZero"/>
        <c:auto val="1"/>
        <c:lblAlgn val="ctr"/>
        <c:lblOffset val="100"/>
        <c:noMultiLvlLbl val="0"/>
      </c:catAx>
      <c:valAx>
        <c:axId val="471175920"/>
        <c:scaling>
          <c:orientation val="minMax"/>
        </c:scaling>
        <c:delete val="1"/>
        <c:axPos val="b"/>
        <c:numFmt formatCode="&quot;$&quot;0.0,&quot;k&quot;" sourceLinked="1"/>
        <c:majorTickMark val="none"/>
        <c:minorTickMark val="none"/>
        <c:tickLblPos val="nextTo"/>
        <c:crossAx val="471181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average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Sheet5!$A$128:$A$131</c:f>
              <c:strCache>
                <c:ptCount val="4"/>
                <c:pt idx="0">
                  <c:v>Grocery Store</c:v>
                </c:pt>
                <c:pt idx="1">
                  <c:v>Supermarket Type1</c:v>
                </c:pt>
                <c:pt idx="2">
                  <c:v>Supermarket Type2</c:v>
                </c:pt>
                <c:pt idx="3">
                  <c:v>Supermarket Type3</c:v>
                </c:pt>
              </c:strCache>
            </c:strRef>
          </c:cat>
          <c:val>
            <c:numRef>
              <c:f>Sheet5!$B$128:$B$131</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3E82-49A2-B133-968975BD80CC}"/>
            </c:ext>
          </c:extLst>
        </c:ser>
        <c:dLbls>
          <c:dLblPos val="outEnd"/>
          <c:showLegendKey val="0"/>
          <c:showVal val="1"/>
          <c:showCatName val="0"/>
          <c:showSerName val="0"/>
          <c:showPercent val="0"/>
          <c:showBubbleSize val="0"/>
        </c:dLbls>
        <c:gapWidth val="182"/>
        <c:axId val="448030176"/>
        <c:axId val="448029520"/>
      </c:barChart>
      <c:catAx>
        <c:axId val="44803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29520"/>
        <c:crosses val="autoZero"/>
        <c:auto val="1"/>
        <c:lblAlgn val="ctr"/>
        <c:lblOffset val="100"/>
        <c:noMultiLvlLbl val="0"/>
      </c:catAx>
      <c:valAx>
        <c:axId val="448029520"/>
        <c:scaling>
          <c:orientation val="minMax"/>
        </c:scaling>
        <c:delete val="1"/>
        <c:axPos val="b"/>
        <c:numFmt formatCode="&quot;$&quot;0" sourceLinked="1"/>
        <c:majorTickMark val="none"/>
        <c:minorTickMark val="none"/>
        <c:tickLblPos val="nextTo"/>
        <c:crossAx val="448030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a:t>
            </a:r>
            <a:r>
              <a:rPr lang="en-US" baseline="0"/>
              <a:t>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Sheet5!$B$141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Sheet5!$A$142:$A$145</c:f>
              <c:strCache>
                <c:ptCount val="4"/>
                <c:pt idx="0">
                  <c:v>Grocery Store</c:v>
                </c:pt>
                <c:pt idx="1">
                  <c:v>Supermarket Type1</c:v>
                </c:pt>
                <c:pt idx="2">
                  <c:v>Supermarket Type2</c:v>
                </c:pt>
                <c:pt idx="3">
                  <c:v>Supermarket Type3</c:v>
                </c:pt>
              </c:strCache>
            </c:strRef>
          </c:cat>
          <c:val>
            <c:numRef>
              <c:f>Sheet5!$B$142:$B$145</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C5E5-4449-BC00-BDBD2D076C26}"/>
            </c:ext>
          </c:extLst>
        </c:ser>
        <c:dLbls>
          <c:dLblPos val="outEnd"/>
          <c:showLegendKey val="0"/>
          <c:showVal val="1"/>
          <c:showCatName val="0"/>
          <c:showSerName val="0"/>
          <c:showPercent val="0"/>
          <c:showBubbleSize val="0"/>
        </c:dLbls>
        <c:gapWidth val="182"/>
        <c:axId val="445225448"/>
        <c:axId val="445225776"/>
      </c:barChart>
      <c:catAx>
        <c:axId val="445225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225776"/>
        <c:crosses val="autoZero"/>
        <c:auto val="1"/>
        <c:lblAlgn val="ctr"/>
        <c:lblOffset val="100"/>
        <c:noMultiLvlLbl val="0"/>
      </c:catAx>
      <c:valAx>
        <c:axId val="445225776"/>
        <c:scaling>
          <c:orientation val="minMax"/>
        </c:scaling>
        <c:delete val="1"/>
        <c:axPos val="b"/>
        <c:numFmt formatCode="0" sourceLinked="1"/>
        <c:majorTickMark val="none"/>
        <c:minorTickMark val="none"/>
        <c:tickLblPos val="nextTo"/>
        <c:crossAx val="445225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FAT CONTENT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6">
              <a:lumMod val="50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lumMod val="75000"/>
            </a:schemeClr>
          </a:solidFill>
          <a:ln w="19050">
            <a:solidFill>
              <a:schemeClr val="lt1"/>
            </a:solidFill>
          </a:ln>
          <a:effectLst/>
        </c:spPr>
        <c:dLbl>
          <c:idx val="0"/>
          <c:layout>
            <c:manualLayout>
              <c:x val="0.14712801797020128"/>
              <c:y val="-0.134685625253408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5D908FA-3BF7-48B6-92EE-018CC787A6E1}" type="VALUE">
                  <a:rPr lang="en-US" sz="1100" b="1">
                    <a:solidFill>
                      <a:schemeClr val="accent4">
                        <a:lumMod val="7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solidFill>
                    <a:schemeClr val="accent4">
                      <a:lumMod val="75000"/>
                    </a:schemeClr>
                  </a:solidFill>
                </a:endParaRPr>
              </a:p>
              <a:p>
                <a:pPr>
                  <a:defRPr sz="900" b="0" i="0" u="none" strike="noStrike" kern="1200" baseline="0">
                    <a:solidFill>
                      <a:schemeClr val="tx1">
                        <a:lumMod val="75000"/>
                        <a:lumOff val="25000"/>
                      </a:schemeClr>
                    </a:solidFill>
                    <a:latin typeface="+mn-lt"/>
                    <a:ea typeface="+mn-ea"/>
                    <a:cs typeface="+mn-cs"/>
                  </a:defRPr>
                </a:pPr>
                <a:r>
                  <a:rPr lang="en-US" sz="1100" b="1" baseline="0">
                    <a:solidFill>
                      <a:schemeClr val="accent4">
                        <a:lumMod val="75000"/>
                      </a:schemeClr>
                    </a:solidFill>
                  </a:rPr>
                  <a:t> </a:t>
                </a:r>
                <a:fld id="{095EF586-154D-4B51-9BBB-246C6D82DA5C}" type="PERCENTAGE">
                  <a:rPr lang="en-US" sz="1100" b="1" baseline="0">
                    <a:solidFill>
                      <a:schemeClr val="accent4">
                        <a:lumMod val="75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baseline="0">
                  <a:solidFill>
                    <a:schemeClr val="accent4">
                      <a:lumMod val="75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45344110747218"/>
                  <c:h val="0.2740117892503256"/>
                </c:manualLayout>
              </c15:layout>
              <c15:dlblFieldTable/>
              <c15:showDataLabelsRange val="0"/>
            </c:ext>
          </c:extLst>
        </c:dLbl>
      </c:pivotFmt>
      <c:pivotFmt>
        <c:idx val="3"/>
        <c:spPr>
          <a:solidFill>
            <a:schemeClr val="accent6">
              <a:lumMod val="50000"/>
            </a:schemeClr>
          </a:solidFill>
          <a:ln w="19050">
            <a:solidFill>
              <a:schemeClr val="lt1"/>
            </a:solidFill>
          </a:ln>
          <a:effectLst/>
        </c:spPr>
        <c:dLbl>
          <c:idx val="0"/>
          <c:layout>
            <c:manualLayout>
              <c:x val="-0.12522308833202422"/>
              <c:y val="3.772930365018804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B22487B-50F8-4EEC-9F58-9249C5A50613}" type="VALUE">
                  <a:rPr lang="en-US" sz="1100" b="1">
                    <a:solidFill>
                      <a:schemeClr val="accent6">
                        <a:lumMod val="50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solidFill>
                    <a:schemeClr val="accent6">
                      <a:lumMod val="50000"/>
                    </a:schemeClr>
                  </a:solidFill>
                </a:endParaRPr>
              </a:p>
              <a:p>
                <a:pPr>
                  <a:defRPr sz="900" b="0" i="0" u="none" strike="noStrike" kern="1200" baseline="0">
                    <a:solidFill>
                      <a:schemeClr val="tx1">
                        <a:lumMod val="75000"/>
                        <a:lumOff val="25000"/>
                      </a:schemeClr>
                    </a:solidFill>
                    <a:latin typeface="+mn-lt"/>
                    <a:ea typeface="+mn-ea"/>
                    <a:cs typeface="+mn-cs"/>
                  </a:defRPr>
                </a:pPr>
                <a:r>
                  <a:rPr lang="en-US" sz="1100" b="1" baseline="0">
                    <a:solidFill>
                      <a:schemeClr val="accent6">
                        <a:lumMod val="50000"/>
                      </a:schemeClr>
                    </a:solidFill>
                  </a:rPr>
                  <a:t> </a:t>
                </a:r>
                <a:fld id="{1B65CE1F-D149-43F6-9D23-95A286A02E32}" type="PERCENTAGE">
                  <a:rPr lang="en-US" sz="1100" b="1" baseline="0">
                    <a:solidFill>
                      <a:schemeClr val="accent6">
                        <a:lumMod val="50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baseline="0">
                  <a:solidFill>
                    <a:schemeClr val="accent6">
                      <a:lumMod val="50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454004380839255"/>
                  <c:h val="0.29298157317964119"/>
                </c:manualLayout>
              </c15:layout>
              <c15:dlblFieldTable/>
              <c15:showDataLabelsRange val="0"/>
            </c:ext>
          </c:extLst>
        </c:dLbl>
      </c:pivotFmt>
      <c:pivotFmt>
        <c:idx val="4"/>
        <c:spPr>
          <a:solidFill>
            <a:schemeClr val="accent6">
              <a:lumMod val="50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14712801797020128"/>
              <c:y val="-0.134685625253408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5D908FA-3BF7-48B6-92EE-018CC787A6E1}" type="VALUE">
                  <a:rPr lang="en-US" sz="1100" b="1">
                    <a:solidFill>
                      <a:schemeClr val="accent4">
                        <a:lumMod val="7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solidFill>
                    <a:schemeClr val="accent4">
                      <a:lumMod val="75000"/>
                    </a:schemeClr>
                  </a:solidFill>
                </a:endParaRPr>
              </a:p>
              <a:p>
                <a:pPr>
                  <a:defRPr sz="900" b="0" i="0" u="none" strike="noStrike" kern="1200" baseline="0">
                    <a:solidFill>
                      <a:schemeClr val="tx1">
                        <a:lumMod val="75000"/>
                        <a:lumOff val="25000"/>
                      </a:schemeClr>
                    </a:solidFill>
                    <a:latin typeface="+mn-lt"/>
                    <a:ea typeface="+mn-ea"/>
                    <a:cs typeface="+mn-cs"/>
                  </a:defRPr>
                </a:pPr>
                <a:r>
                  <a:rPr lang="en-US" sz="1100" b="1" baseline="0">
                    <a:solidFill>
                      <a:schemeClr val="accent4">
                        <a:lumMod val="75000"/>
                      </a:schemeClr>
                    </a:solidFill>
                  </a:rPr>
                  <a:t> </a:t>
                </a:r>
                <a:fld id="{095EF586-154D-4B51-9BBB-246C6D82DA5C}" type="PERCENTAGE">
                  <a:rPr lang="en-US" sz="1100" b="1" baseline="0">
                    <a:solidFill>
                      <a:schemeClr val="accent4">
                        <a:lumMod val="75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baseline="0">
                  <a:solidFill>
                    <a:schemeClr val="accent4">
                      <a:lumMod val="75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45344110747218"/>
                  <c:h val="0.2740117892503256"/>
                </c:manualLayout>
              </c15:layout>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0.12522308833202422"/>
              <c:y val="3.772930365018804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B22487B-50F8-4EEC-9F58-9249C5A50613}" type="VALUE">
                  <a:rPr lang="en-US" sz="1100" b="1">
                    <a:solidFill>
                      <a:schemeClr val="accent6">
                        <a:lumMod val="50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solidFill>
                    <a:schemeClr val="accent6">
                      <a:lumMod val="50000"/>
                    </a:schemeClr>
                  </a:solidFill>
                </a:endParaRPr>
              </a:p>
              <a:p>
                <a:pPr>
                  <a:defRPr sz="900" b="0" i="0" u="none" strike="noStrike" kern="1200" baseline="0">
                    <a:solidFill>
                      <a:schemeClr val="tx1">
                        <a:lumMod val="75000"/>
                        <a:lumOff val="25000"/>
                      </a:schemeClr>
                    </a:solidFill>
                    <a:latin typeface="+mn-lt"/>
                    <a:ea typeface="+mn-ea"/>
                    <a:cs typeface="+mn-cs"/>
                  </a:defRPr>
                </a:pPr>
                <a:r>
                  <a:rPr lang="en-US" sz="1100" b="1" baseline="0">
                    <a:solidFill>
                      <a:schemeClr val="accent6">
                        <a:lumMod val="50000"/>
                      </a:schemeClr>
                    </a:solidFill>
                  </a:rPr>
                  <a:t> </a:t>
                </a:r>
                <a:fld id="{1B65CE1F-D149-43F6-9D23-95A286A02E32}" type="PERCENTAGE">
                  <a:rPr lang="en-US" sz="1100" b="1" baseline="0">
                    <a:solidFill>
                      <a:schemeClr val="accent6">
                        <a:lumMod val="50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baseline="0">
                  <a:solidFill>
                    <a:schemeClr val="accent6">
                      <a:lumMod val="50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454004380839255"/>
                  <c:h val="0.29298157317964119"/>
                </c:manualLayout>
              </c15:layout>
              <c15:dlblFieldTable/>
              <c15:showDataLabelsRange val="0"/>
            </c:ext>
          </c:extLst>
        </c:dLbl>
      </c:pivotFmt>
      <c:pivotFmt>
        <c:idx val="7"/>
        <c:spPr>
          <a:solidFill>
            <a:schemeClr val="accent6">
              <a:lumMod val="50000"/>
            </a:schemeClr>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75000"/>
            </a:schemeClr>
          </a:solidFill>
          <a:ln w="19050">
            <a:noFill/>
          </a:ln>
          <a:effectLst/>
        </c:spPr>
        <c:dLbl>
          <c:idx val="0"/>
          <c:layout>
            <c:manualLayout>
              <c:x val="0.14712801797020128"/>
              <c:y val="-0.134685625253408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5D908FA-3BF7-48B6-92EE-018CC787A6E1}" type="VALUE">
                  <a:rPr lang="en-US" sz="1100" b="1">
                    <a:solidFill>
                      <a:schemeClr val="accent4">
                        <a:lumMod val="75000"/>
                      </a:schemeClr>
                    </a:solidFill>
                  </a:rPr>
                  <a:pPr>
                    <a:defRPr/>
                  </a:pPr>
                  <a:t>[VALUE]</a:t>
                </a:fld>
                <a:endParaRPr lang="en-US" sz="1100" b="1" baseline="0">
                  <a:solidFill>
                    <a:schemeClr val="accent4">
                      <a:lumMod val="75000"/>
                    </a:schemeClr>
                  </a:solidFill>
                </a:endParaRPr>
              </a:p>
              <a:p>
                <a:pPr>
                  <a:defRPr/>
                </a:pPr>
                <a:r>
                  <a:rPr lang="en-US" sz="1100" b="1" baseline="0">
                    <a:solidFill>
                      <a:schemeClr val="accent4">
                        <a:lumMod val="75000"/>
                      </a:schemeClr>
                    </a:solidFill>
                  </a:rPr>
                  <a:t> </a:t>
                </a:r>
                <a:fld id="{095EF586-154D-4B51-9BBB-246C6D82DA5C}" type="PERCENTAGE">
                  <a:rPr lang="en-US" sz="1100" b="1" baseline="0">
                    <a:solidFill>
                      <a:schemeClr val="accent4">
                        <a:lumMod val="75000"/>
                      </a:schemeClr>
                    </a:solidFill>
                  </a:rPr>
                  <a:pPr>
                    <a:defRPr/>
                  </a:pPr>
                  <a:t>[PERCENTAGE]</a:t>
                </a:fld>
                <a:endParaRPr lang="en-US" sz="1100" b="1" baseline="0">
                  <a:solidFill>
                    <a:schemeClr val="accent4">
                      <a:lumMod val="75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45344110747218"/>
                  <c:h val="0.2740117892503256"/>
                </c:manualLayout>
              </c15:layout>
              <c15:dlblFieldTable/>
              <c15:showDataLabelsRange val="0"/>
            </c:ext>
          </c:extLst>
        </c:dLbl>
      </c:pivotFmt>
      <c:pivotFmt>
        <c:idx val="9"/>
        <c:spPr>
          <a:solidFill>
            <a:schemeClr val="accent6">
              <a:lumMod val="75000"/>
            </a:schemeClr>
          </a:solidFill>
          <a:ln w="19050">
            <a:noFill/>
          </a:ln>
          <a:effectLst/>
        </c:spPr>
        <c:dLbl>
          <c:idx val="0"/>
          <c:layout>
            <c:manualLayout>
              <c:x val="-0.13198300258154946"/>
              <c:y val="2.599210750064692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B22487B-50F8-4EEC-9F58-9249C5A50613}" type="VALUE">
                  <a:rPr lang="en-US" sz="1100" b="1">
                    <a:solidFill>
                      <a:schemeClr val="accent6">
                        <a:lumMod val="50000"/>
                      </a:schemeClr>
                    </a:solidFill>
                  </a:rPr>
                  <a:pPr>
                    <a:defRPr/>
                  </a:pPr>
                  <a:t>[VALUE]</a:t>
                </a:fld>
                <a:endParaRPr lang="en-US" sz="1100" b="1" baseline="0">
                  <a:solidFill>
                    <a:schemeClr val="accent6">
                      <a:lumMod val="50000"/>
                    </a:schemeClr>
                  </a:solidFill>
                </a:endParaRPr>
              </a:p>
              <a:p>
                <a:pPr>
                  <a:defRPr/>
                </a:pPr>
                <a:r>
                  <a:rPr lang="en-US" sz="1100" b="1" baseline="0">
                    <a:solidFill>
                      <a:schemeClr val="accent6">
                        <a:lumMod val="50000"/>
                      </a:schemeClr>
                    </a:solidFill>
                  </a:rPr>
                  <a:t> </a:t>
                </a:r>
                <a:fld id="{1B65CE1F-D149-43F6-9D23-95A286A02E32}" type="PERCENTAGE">
                  <a:rPr lang="en-US" sz="1100" b="1" baseline="0">
                    <a:solidFill>
                      <a:schemeClr val="accent6">
                        <a:lumMod val="50000"/>
                      </a:schemeClr>
                    </a:solidFill>
                  </a:rPr>
                  <a:pPr>
                    <a:defRPr/>
                  </a:pPr>
                  <a:t>[PERCENTAGE]</a:t>
                </a:fld>
                <a:endParaRPr lang="en-US" sz="1100" b="1" baseline="0">
                  <a:solidFill>
                    <a:schemeClr val="accent6">
                      <a:lumMod val="50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509966910036107"/>
                  <c:h val="0.26950759676167241"/>
                </c:manualLayout>
              </c15:layout>
              <c15:dlblFieldTable/>
              <c15:showDataLabelsRange val="0"/>
            </c:ext>
          </c:extLst>
        </c:dLbl>
      </c:pivotFmt>
    </c:pivotFmts>
    <c:plotArea>
      <c:layout/>
      <c:doughnutChart>
        <c:varyColors val="1"/>
        <c:ser>
          <c:idx val="0"/>
          <c:order val="0"/>
          <c:tx>
            <c:strRef>
              <c:f>Sheet5!$B$14</c:f>
              <c:strCache>
                <c:ptCount val="1"/>
                <c:pt idx="0">
                  <c:v>Total</c:v>
                </c:pt>
              </c:strCache>
            </c:strRef>
          </c:tx>
          <c:spPr>
            <a:solidFill>
              <a:schemeClr val="accent6">
                <a:lumMod val="50000"/>
              </a:schemeClr>
            </a:solidFill>
            <a:ln>
              <a:noFill/>
            </a:ln>
          </c:spPr>
          <c:dPt>
            <c:idx val="0"/>
            <c:bubble3D val="0"/>
            <c:spPr>
              <a:solidFill>
                <a:schemeClr val="accent4">
                  <a:lumMod val="75000"/>
                </a:schemeClr>
              </a:solidFill>
              <a:ln w="19050">
                <a:noFill/>
              </a:ln>
              <a:effectLst/>
            </c:spPr>
            <c:extLst>
              <c:ext xmlns:c16="http://schemas.microsoft.com/office/drawing/2014/chart" uri="{C3380CC4-5D6E-409C-BE32-E72D297353CC}">
                <c16:uniqueId val="{00000001-8914-4B16-BA68-8F9FACD219DD}"/>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8914-4B16-BA68-8F9FACD219DD}"/>
              </c:ext>
            </c:extLst>
          </c:dPt>
          <c:dLbls>
            <c:dLbl>
              <c:idx val="0"/>
              <c:layout>
                <c:manualLayout>
                  <c:x val="0.14712801797020128"/>
                  <c:y val="-0.134685625253408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5D908FA-3BF7-48B6-92EE-018CC787A6E1}" type="VALUE">
                      <a:rPr lang="en-US" sz="1100" b="1">
                        <a:solidFill>
                          <a:schemeClr val="accent4">
                            <a:lumMod val="75000"/>
                          </a:schemeClr>
                        </a:solidFill>
                      </a:rPr>
                      <a:pPr>
                        <a:defRPr/>
                      </a:pPr>
                      <a:t>[VALUE]</a:t>
                    </a:fld>
                    <a:endParaRPr lang="en-US" sz="1100" b="1" baseline="0">
                      <a:solidFill>
                        <a:schemeClr val="accent4">
                          <a:lumMod val="75000"/>
                        </a:schemeClr>
                      </a:solidFill>
                    </a:endParaRPr>
                  </a:p>
                  <a:p>
                    <a:pPr>
                      <a:defRPr/>
                    </a:pPr>
                    <a:r>
                      <a:rPr lang="en-US" sz="1100" b="1" baseline="0">
                        <a:solidFill>
                          <a:schemeClr val="accent4">
                            <a:lumMod val="75000"/>
                          </a:schemeClr>
                        </a:solidFill>
                      </a:rPr>
                      <a:t> </a:t>
                    </a:r>
                    <a:fld id="{095EF586-154D-4B51-9BBB-246C6D82DA5C}" type="PERCENTAGE">
                      <a:rPr lang="en-US" sz="1100" b="1" baseline="0">
                        <a:solidFill>
                          <a:schemeClr val="accent4">
                            <a:lumMod val="75000"/>
                          </a:schemeClr>
                        </a:solidFill>
                      </a:rPr>
                      <a:pPr>
                        <a:defRPr/>
                      </a:pPr>
                      <a:t>[PERCENTAGE]</a:t>
                    </a:fld>
                    <a:endParaRPr lang="en-US" sz="1100" b="1" baseline="0">
                      <a:solidFill>
                        <a:schemeClr val="accent4">
                          <a:lumMod val="75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45344110747218"/>
                      <c:h val="0.2740117892503256"/>
                    </c:manualLayout>
                  </c15:layout>
                  <c15:dlblFieldTable/>
                  <c15:showDataLabelsRange val="0"/>
                </c:ext>
                <c:ext xmlns:c16="http://schemas.microsoft.com/office/drawing/2014/chart" uri="{C3380CC4-5D6E-409C-BE32-E72D297353CC}">
                  <c16:uniqueId val="{00000001-8914-4B16-BA68-8F9FACD219DD}"/>
                </c:ext>
              </c:extLst>
            </c:dLbl>
            <c:dLbl>
              <c:idx val="1"/>
              <c:layout>
                <c:manualLayout>
                  <c:x val="-0.13198300258154946"/>
                  <c:y val="2.599210750064692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B22487B-50F8-4EEC-9F58-9249C5A50613}" type="VALUE">
                      <a:rPr lang="en-US" sz="1100" b="1">
                        <a:solidFill>
                          <a:schemeClr val="accent6">
                            <a:lumMod val="50000"/>
                          </a:schemeClr>
                        </a:solidFill>
                      </a:rPr>
                      <a:pPr>
                        <a:defRPr/>
                      </a:pPr>
                      <a:t>[VALUE]</a:t>
                    </a:fld>
                    <a:endParaRPr lang="en-US" sz="1100" b="1" baseline="0">
                      <a:solidFill>
                        <a:schemeClr val="accent6">
                          <a:lumMod val="50000"/>
                        </a:schemeClr>
                      </a:solidFill>
                    </a:endParaRPr>
                  </a:p>
                  <a:p>
                    <a:pPr>
                      <a:defRPr/>
                    </a:pPr>
                    <a:r>
                      <a:rPr lang="en-US" sz="1100" b="1" baseline="0">
                        <a:solidFill>
                          <a:schemeClr val="accent6">
                            <a:lumMod val="50000"/>
                          </a:schemeClr>
                        </a:solidFill>
                      </a:rPr>
                      <a:t> </a:t>
                    </a:r>
                    <a:fld id="{1B65CE1F-D149-43F6-9D23-95A286A02E32}" type="PERCENTAGE">
                      <a:rPr lang="en-US" sz="1100" b="1" baseline="0">
                        <a:solidFill>
                          <a:schemeClr val="accent6">
                            <a:lumMod val="50000"/>
                          </a:schemeClr>
                        </a:solidFill>
                      </a:rPr>
                      <a:pPr>
                        <a:defRPr/>
                      </a:pPr>
                      <a:t>[PERCENTAGE]</a:t>
                    </a:fld>
                    <a:endParaRPr lang="en-US" sz="1100" b="1" baseline="0">
                      <a:solidFill>
                        <a:schemeClr val="accent6">
                          <a:lumMod val="50000"/>
                        </a:schemeClr>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509966910036107"/>
                      <c:h val="0.26950759676167241"/>
                    </c:manualLayout>
                  </c15:layout>
                  <c15:dlblFieldTable/>
                  <c15:showDataLabelsRange val="0"/>
                </c:ext>
                <c:ext xmlns:c16="http://schemas.microsoft.com/office/drawing/2014/chart" uri="{C3380CC4-5D6E-409C-BE32-E72D297353CC}">
                  <c16:uniqueId val="{00000003-8914-4B16-BA68-8F9FACD219D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Sheet5!$A$15:$A$17</c:f>
              <c:strCache>
                <c:ptCount val="2"/>
                <c:pt idx="0">
                  <c:v>Low Fat</c:v>
                </c:pt>
                <c:pt idx="1">
                  <c:v>Regular</c:v>
                </c:pt>
              </c:strCache>
            </c:strRef>
          </c:cat>
          <c:val>
            <c:numRef>
              <c:f>Sheet5!$B$15:$B$17</c:f>
              <c:numCache>
                <c:formatCode>"$"0.0,"k"</c:formatCode>
                <c:ptCount val="2"/>
                <c:pt idx="0">
                  <c:v>776319.68840000057</c:v>
                </c:pt>
                <c:pt idx="1">
                  <c:v>425249.54999999952</c:v>
                </c:pt>
              </c:numCache>
            </c:numRef>
          </c:val>
          <c:extLst>
            <c:ext xmlns:c16="http://schemas.microsoft.com/office/drawing/2014/chart" uri="{C3380CC4-5D6E-409C-BE32-E72D297353CC}">
              <c16:uniqueId val="{00000004-8914-4B16-BA68-8F9FACD219D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317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.xlsx]Sheet5!PivotTable1</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FAT BY OUTLET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4">
              <a:lumMod val="75000"/>
            </a:schemeClr>
          </a:solidFill>
          <a:ln w="0" cmpd="sng">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0" cmpd="sng">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4">
              <a:lumMod val="75000"/>
            </a:schemeClr>
          </a:solidFill>
          <a:ln w="0" cmpd="sng">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Sheet5!$B$30:$B$31</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Sheet5!$A$32:$A$34</c:f>
              <c:strCache>
                <c:ptCount val="3"/>
                <c:pt idx="0">
                  <c:v>Tier 1</c:v>
                </c:pt>
                <c:pt idx="1">
                  <c:v>Tier 2</c:v>
                </c:pt>
                <c:pt idx="2">
                  <c:v>Tier 3</c:v>
                </c:pt>
              </c:strCache>
            </c:strRef>
          </c:cat>
          <c:val>
            <c:numRef>
              <c:f>Sheet5!$B$32:$B$34</c:f>
              <c:numCache>
                <c:formatCode>"$"0.0,"k"</c:formatCode>
                <c:ptCount val="3"/>
                <c:pt idx="0">
                  <c:v>121349.89940000001</c:v>
                </c:pt>
                <c:pt idx="1">
                  <c:v>138685.86819999994</c:v>
                </c:pt>
                <c:pt idx="2">
                  <c:v>165213.7824</c:v>
                </c:pt>
              </c:numCache>
            </c:numRef>
          </c:val>
          <c:extLst>
            <c:ext xmlns:c16="http://schemas.microsoft.com/office/drawing/2014/chart" uri="{C3380CC4-5D6E-409C-BE32-E72D297353CC}">
              <c16:uniqueId val="{00000000-0A96-4939-8435-6C680D980D50}"/>
            </c:ext>
          </c:extLst>
        </c:ser>
        <c:ser>
          <c:idx val="1"/>
          <c:order val="1"/>
          <c:tx>
            <c:strRef>
              <c:f>Sheet5!$C$30:$C$31</c:f>
              <c:strCache>
                <c:ptCount val="1"/>
                <c:pt idx="0">
                  <c:v>Low Fat</c:v>
                </c:pt>
              </c:strCache>
            </c:strRef>
          </c:tx>
          <c:spPr>
            <a:solidFill>
              <a:schemeClr val="accent4">
                <a:lumMod val="75000"/>
              </a:schemeClr>
            </a:solidFill>
            <a:ln w="0" cmpd="sng">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Sheet5!$A$32:$A$34</c:f>
              <c:strCache>
                <c:ptCount val="3"/>
                <c:pt idx="0">
                  <c:v>Tier 1</c:v>
                </c:pt>
                <c:pt idx="1">
                  <c:v>Tier 2</c:v>
                </c:pt>
                <c:pt idx="2">
                  <c:v>Tier 3</c:v>
                </c:pt>
              </c:strCache>
            </c:strRef>
          </c:cat>
          <c:val>
            <c:numRef>
              <c:f>Sheet5!$C$32:$C$34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A96-4939-8435-6C680D980D50}"/>
            </c:ext>
          </c:extLst>
        </c:ser>
        <c:dLbls>
          <c:dLblPos val="outEnd"/>
          <c:showLegendKey val="0"/>
          <c:showVal val="1"/>
          <c:showCatName val="0"/>
          <c:showSerName val="0"/>
          <c:showPercent val="0"/>
          <c:showBubbleSize val="0"/>
        </c:dLbls>
        <c:gapWidth val="46"/>
        <c:axId val="445831640"/>
        <c:axId val="445831968"/>
      </c:barChart>
      <c:catAx>
        <c:axId val="4458316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45831968"/>
        <c:crosses val="autoZero"/>
        <c:auto val="1"/>
        <c:lblAlgn val="ctr"/>
        <c:lblOffset val="100"/>
        <c:noMultiLvlLbl val="0"/>
      </c:catAx>
      <c:valAx>
        <c:axId val="445831968"/>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4583164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317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.xlsx]Sheet5!PivotTable2</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Sales by Item Type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9649345606765282"/>
          <c:y val="0.17942580973802871"/>
          <c:w val="0.74704306999792969"/>
          <c:h val="0.70850548255600543"/>
        </c:manualLayout>
      </c:layout>
      <c:barChart>
        <c:barDir val="bar"/>
        <c:grouping val="clustered"/>
        <c:varyColors val="0"/>
        <c:ser>
          <c:idx val="0"/>
          <c:order val="0"/>
          <c:tx>
            <c:strRef>
              <c:f>Sheet5!$B$44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Sheet5!$A$45:$A$60</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Sheet5!$B$45:$B$60</c:f>
              <c:numCache>
                <c:formatCode>"$"0.0,"k"</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4A3A-4E09-9349-E074089F39F1}"/>
            </c:ext>
          </c:extLst>
        </c:ser>
        <c:dLbls>
          <c:dLblPos val="outEnd"/>
          <c:showLegendKey val="0"/>
          <c:showVal val="1"/>
          <c:showCatName val="0"/>
          <c:showSerName val="0"/>
          <c:showPercent val="0"/>
          <c:showBubbleSize val="0"/>
        </c:dLbls>
        <c:gapWidth val="182"/>
        <c:axId val="449854976"/>
        <c:axId val="449849072"/>
      </c:barChart>
      <c:catAx>
        <c:axId val="44985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49849072"/>
        <c:crosses val="autoZero"/>
        <c:auto val="1"/>
        <c:lblAlgn val="ctr"/>
        <c:lblOffset val="100"/>
        <c:noMultiLvlLbl val="0"/>
      </c:catAx>
      <c:valAx>
        <c:axId val="449849072"/>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4985497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.xlsx]Sheet5!PivotTable6</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by out</a:t>
            </a:r>
            <a:r>
              <a:rPr lang="en-US" b="1">
                <a:solidFill>
                  <a:sysClr val="windowText" lastClr="000000"/>
                </a:solidFill>
              </a:rPr>
              <a:t>let Establishment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224753159231455"/>
          <c:y val="0.1585060334899171"/>
          <c:w val="0.73495603674540677"/>
          <c:h val="0.72088764946048411"/>
        </c:manualLayout>
      </c:layout>
      <c:barChart>
        <c:barDir val="col"/>
        <c:grouping val="clustered"/>
        <c:varyColors val="0"/>
        <c:ser>
          <c:idx val="0"/>
          <c:order val="0"/>
          <c:tx>
            <c:strRef>
              <c:f>Sheet5!$B$65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Sheet5!$A$66:$A$74</c:f>
              <c:strCache>
                <c:ptCount val="9"/>
                <c:pt idx="0">
                  <c:v>2011</c:v>
                </c:pt>
                <c:pt idx="1">
                  <c:v>2012</c:v>
                </c:pt>
                <c:pt idx="2">
                  <c:v>2014</c:v>
                </c:pt>
                <c:pt idx="3">
                  <c:v>2015</c:v>
                </c:pt>
                <c:pt idx="4">
                  <c:v>2016</c:v>
                </c:pt>
                <c:pt idx="5">
                  <c:v>2017</c:v>
                </c:pt>
                <c:pt idx="6">
                  <c:v>2018</c:v>
                </c:pt>
                <c:pt idx="7">
                  <c:v>2020</c:v>
                </c:pt>
                <c:pt idx="8">
                  <c:v>2022</c:v>
                </c:pt>
              </c:strCache>
            </c:strRef>
          </c:cat>
          <c:val>
            <c:numRef>
              <c:f>Sheet5!$B$66:$B$74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60D-478E-97D9-CD2DD176AB71}"/>
            </c:ext>
          </c:extLst>
        </c:ser>
        <c:dLbls>
          <c:dLblPos val="outEnd"/>
          <c:showLegendKey val="0"/>
          <c:showVal val="1"/>
          <c:showCatName val="0"/>
          <c:showSerName val="0"/>
          <c:showPercent val="0"/>
          <c:showBubbleSize val="0"/>
        </c:dLbls>
        <c:gapWidth val="219"/>
        <c:overlap val="-27"/>
        <c:axId val="449113536"/>
        <c:axId val="449115504"/>
      </c:barChart>
      <c:catAx>
        <c:axId val="44911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49115504"/>
        <c:crosses val="autoZero"/>
        <c:auto val="1"/>
        <c:lblAlgn val="ctr"/>
        <c:lblOffset val="100"/>
        <c:noMultiLvlLbl val="0"/>
      </c:catAx>
      <c:valAx>
        <c:axId val="449115504"/>
        <c:scaling>
          <c:orientation val="minMax"/>
        </c:scaling>
        <c:delete val="1"/>
        <c:axPos val="l"/>
        <c:numFmt formatCode="&quot;$&quot;0.0,&quot;k&quot;" sourceLinked="1"/>
        <c:majorTickMark val="out"/>
        <c:minorTickMark val="none"/>
        <c:tickLblPos val="nextTo"/>
        <c:crossAx val="44911353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.xlsx]Sheet5!PivotTable7</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 by Outlet size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pivotFmt>
      <c:pivotFmt>
        <c:idx val="8"/>
        <c:spPr>
          <a:solidFill>
            <a:schemeClr val="accent6">
              <a:lumMod val="50000"/>
            </a:schemeClr>
          </a:solidFill>
          <a:ln w="19050">
            <a:noFill/>
          </a:ln>
          <a:effectLst/>
        </c:spPr>
      </c:pivotFmt>
      <c:pivotFmt>
        <c:idx val="9"/>
        <c:spPr>
          <a:solidFill>
            <a:schemeClr val="accent4">
              <a:lumMod val="75000"/>
            </a:schemeClr>
          </a:solidFill>
          <a:ln w="19050">
            <a:noFill/>
          </a:ln>
          <a:effectLst/>
        </c:spPr>
      </c:pivotFmt>
      <c:pivotFmt>
        <c:idx val="10"/>
        <c:spPr>
          <a:solidFill>
            <a:schemeClr val="accent6">
              <a:lumMod val="60000"/>
              <a:lumOff val="40000"/>
            </a:schemeClr>
          </a:solidFill>
          <a:ln w="19050">
            <a:noFill/>
          </a:ln>
          <a:effectLst/>
        </c:spPr>
      </c:pivotFmt>
    </c:pivotFmts>
    <c:plotArea>
      <c:layout/>
      <c:pieChart>
        <c:varyColors val="1"/>
        <c:ser>
          <c:idx val="0"/>
          <c:order val="0"/>
          <c:tx>
            <c:strRef>
              <c:f>Sheet5!$B$82</c:f>
              <c:strCache>
                <c:ptCount val="1"/>
                <c:pt idx="0">
                  <c:v>Total</c:v>
                </c:pt>
              </c:strCache>
            </c:strRef>
          </c:tx>
          <c:spPr>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3F08-4C83-860A-F61AF59B3236}"/>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3F08-4C83-860A-F61AF59B3236}"/>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3F08-4C83-860A-F61AF59B3236}"/>
              </c:ext>
            </c:extLst>
          </c:dPt>
          <c:cat>
            <c:strRef>
              <c:f>Sheet5!$A$83:$A$85</c:f>
              <c:strCache>
                <c:ptCount val="3"/>
                <c:pt idx="0">
                  <c:v>High</c:v>
                </c:pt>
                <c:pt idx="1">
                  <c:v>Medium</c:v>
                </c:pt>
                <c:pt idx="2">
                  <c:v>Small</c:v>
                </c:pt>
              </c:strCache>
            </c:strRef>
          </c:cat>
          <c:val>
            <c:numRef>
              <c:f>Sheet5!$B$83:$B$85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F08-4C83-860A-F61AF59B3236}"/>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.xlsx]Sheet5!PivotTable8</c:name>
    <c:fmtId val="10"/>
  </c:pivotSource>
  <c:chart>
    <c:title>
      <c:tx>
        <c:rich>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 by Outlet Location</a:t>
            </a:r>
          </a:p>
        </c:rich>
      </c:tx>
      <c:layout>
        <c:manualLayout>
          <c:xMode val="edge"/>
          <c:yMode val="edge"/>
          <c:x val="0.15032742956500797"/>
          <c:y val="4.2032126444992247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6">
              <a:lumMod val="75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Sheet5!$B$97</c:f>
              <c:strCache>
                <c:ptCount val="1"/>
                <c:pt idx="0">
                  <c:v>Total</c:v>
                </c:pt>
              </c:strCache>
            </c:strRef>
          </c:tx>
          <c:spPr>
            <a:solidFill>
              <a:schemeClr val="accent6">
                <a:lumMod val="75000"/>
              </a:schemeClr>
            </a:solidFill>
            <a:ln>
              <a:noFill/>
            </a:ln>
            <a:effectLst/>
            <a:sp3d/>
          </c:spPr>
          <c:invertIfNegative val="0"/>
          <c:cat>
            <c:strRef>
              <c:f>Sheet5!$A$98:$A$100</c:f>
              <c:strCache>
                <c:ptCount val="3"/>
                <c:pt idx="0">
                  <c:v>Tier 1</c:v>
                </c:pt>
                <c:pt idx="1">
                  <c:v>Tier 2</c:v>
                </c:pt>
                <c:pt idx="2">
                  <c:v>Tier 3</c:v>
                </c:pt>
              </c:strCache>
            </c:strRef>
          </c:cat>
          <c:val>
            <c:numRef>
              <c:f>Sheet5!$B$98:$B$100</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BF4F-4007-B57A-C6BB238BBA07}"/>
            </c:ext>
          </c:extLst>
        </c:ser>
        <c:dLbls>
          <c:showLegendKey val="0"/>
          <c:showVal val="0"/>
          <c:showCatName val="0"/>
          <c:showSerName val="0"/>
          <c:showPercent val="0"/>
          <c:showBubbleSize val="0"/>
        </c:dLbls>
        <c:gapWidth val="150"/>
        <c:shape val="box"/>
        <c:axId val="552458904"/>
        <c:axId val="552459232"/>
        <c:axId val="0"/>
      </c:bar3DChart>
      <c:catAx>
        <c:axId val="552458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52459232"/>
        <c:crosses val="autoZero"/>
        <c:auto val="1"/>
        <c:lblAlgn val="ctr"/>
        <c:lblOffset val="100"/>
        <c:noMultiLvlLbl val="0"/>
      </c:catAx>
      <c:valAx>
        <c:axId val="552459232"/>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5245890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.xlsx]Sheet5!PivotTable9</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Sum</a:t>
            </a:r>
            <a:r>
              <a:rPr lang="en-US" b="1" baseline="0">
                <a:solidFill>
                  <a:sysClr val="windowText" lastClr="000000"/>
                </a:solidFill>
              </a:rPr>
              <a:t> of </a:t>
            </a:r>
            <a:r>
              <a:rPr lang="en-US" b="1">
                <a:solidFill>
                  <a:sysClr val="windowText" lastClr="000000"/>
                </a:solidFill>
              </a:rPr>
              <a:t>Total Sales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Sheet5!$B$116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Sheet5!$A$117:$A$120</c:f>
              <c:strCache>
                <c:ptCount val="4"/>
                <c:pt idx="0">
                  <c:v>Grocery Store</c:v>
                </c:pt>
                <c:pt idx="1">
                  <c:v>Supermarket Type3</c:v>
                </c:pt>
                <c:pt idx="2">
                  <c:v>Supermarket Type2</c:v>
                </c:pt>
                <c:pt idx="3">
                  <c:v>Supermarket Type1</c:v>
                </c:pt>
              </c:strCache>
            </c:strRef>
          </c:cat>
          <c:val>
            <c:numRef>
              <c:f>Sheet5!$B$117:$B$120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BA1-4CE0-B0DF-D75132947C6C}"/>
            </c:ext>
          </c:extLst>
        </c:ser>
        <c:dLbls>
          <c:dLblPos val="outEnd"/>
          <c:showLegendKey val="0"/>
          <c:showVal val="1"/>
          <c:showCatName val="0"/>
          <c:showSerName val="0"/>
          <c:showPercent val="0"/>
          <c:showBubbleSize val="0"/>
        </c:dLbls>
        <c:gapWidth val="182"/>
        <c:axId val="471181496"/>
        <c:axId val="471175920"/>
      </c:barChart>
      <c:catAx>
        <c:axId val="471181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71175920"/>
        <c:crosses val="autoZero"/>
        <c:auto val="1"/>
        <c:lblAlgn val="ctr"/>
        <c:lblOffset val="100"/>
        <c:noMultiLvlLbl val="0"/>
      </c:catAx>
      <c:valAx>
        <c:axId val="471175920"/>
        <c:scaling>
          <c:orientation val="minMax"/>
        </c:scaling>
        <c:delete val="1"/>
        <c:axPos val="b"/>
        <c:numFmt formatCode="&quot;$&quot;0.0,&quot;k&quot;" sourceLinked="1"/>
        <c:majorTickMark val="none"/>
        <c:minorTickMark val="none"/>
        <c:tickLblPos val="nextTo"/>
        <c:crossAx val="47118149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Sales</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Sheet5!$B$127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Sheet5!$A$128:$A$131</c:f>
              <c:strCache>
                <c:ptCount val="4"/>
                <c:pt idx="0">
                  <c:v>Grocery Store</c:v>
                </c:pt>
                <c:pt idx="1">
                  <c:v>Supermarket Type1</c:v>
                </c:pt>
                <c:pt idx="2">
                  <c:v>Supermarket Type2</c:v>
                </c:pt>
                <c:pt idx="3">
                  <c:v>Supermarket Type3</c:v>
                </c:pt>
              </c:strCache>
            </c:strRef>
          </c:cat>
          <c:val>
            <c:numRef>
              <c:f>Sheet5!$B$128:$B$131</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F42D-4F54-A519-F25C7D7A754A}"/>
            </c:ext>
          </c:extLst>
        </c:ser>
        <c:dLbls>
          <c:dLblPos val="outEnd"/>
          <c:showLegendKey val="0"/>
          <c:showVal val="1"/>
          <c:showCatName val="0"/>
          <c:showSerName val="0"/>
          <c:showPercent val="0"/>
          <c:showBubbleSize val="0"/>
        </c:dLbls>
        <c:gapWidth val="182"/>
        <c:axId val="448030176"/>
        <c:axId val="448029520"/>
      </c:barChart>
      <c:catAx>
        <c:axId val="44803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48029520"/>
        <c:crosses val="autoZero"/>
        <c:auto val="1"/>
        <c:lblAlgn val="ctr"/>
        <c:lblOffset val="100"/>
        <c:noMultiLvlLbl val="0"/>
      </c:catAx>
      <c:valAx>
        <c:axId val="448029520"/>
        <c:scaling>
          <c:orientation val="minMax"/>
        </c:scaling>
        <c:delete val="1"/>
        <c:axPos val="b"/>
        <c:numFmt formatCode="&quot;$&quot;0" sourceLinked="1"/>
        <c:majorTickMark val="none"/>
        <c:minorTickMark val="none"/>
        <c:tickLblPos val="nextTo"/>
        <c:crossAx val="44803017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.xlsx]Sheet5!PivotTable10</c:name>
    <c:fmtId val="1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No of</a:t>
            </a:r>
            <a:r>
              <a:rPr lang="en-US" b="1" baseline="0">
                <a:solidFill>
                  <a:sysClr val="windowText" lastClr="000000"/>
                </a:solidFill>
              </a:rPr>
              <a:t> Items</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Sheet5!$B$141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Sheet5!$A$142:$A$145</c:f>
              <c:strCache>
                <c:ptCount val="4"/>
                <c:pt idx="0">
                  <c:v>Grocery Store</c:v>
                </c:pt>
                <c:pt idx="1">
                  <c:v>Supermarket Type1</c:v>
                </c:pt>
                <c:pt idx="2">
                  <c:v>Supermarket Type2</c:v>
                </c:pt>
                <c:pt idx="3">
                  <c:v>Supermarket Type3</c:v>
                </c:pt>
              </c:strCache>
            </c:strRef>
          </c:cat>
          <c:val>
            <c:numRef>
              <c:f>Sheet5!$B$142:$B$145</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76CA-4241-8DBA-C844C67B88EA}"/>
            </c:ext>
          </c:extLst>
        </c:ser>
        <c:dLbls>
          <c:dLblPos val="outEnd"/>
          <c:showLegendKey val="0"/>
          <c:showVal val="1"/>
          <c:showCatName val="0"/>
          <c:showSerName val="0"/>
          <c:showPercent val="0"/>
          <c:showBubbleSize val="0"/>
        </c:dLbls>
        <c:gapWidth val="182"/>
        <c:axId val="445225448"/>
        <c:axId val="445225776"/>
      </c:barChart>
      <c:catAx>
        <c:axId val="445225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45225776"/>
        <c:crosses val="autoZero"/>
        <c:auto val="1"/>
        <c:lblAlgn val="ctr"/>
        <c:lblOffset val="100"/>
        <c:noMultiLvlLbl val="0"/>
      </c:catAx>
      <c:valAx>
        <c:axId val="445225776"/>
        <c:scaling>
          <c:orientation val="minMax"/>
        </c:scaling>
        <c:delete val="1"/>
        <c:axPos val="b"/>
        <c:numFmt formatCode="0" sourceLinked="1"/>
        <c:majorTickMark val="none"/>
        <c:minorTickMark val="none"/>
        <c:tickLblPos val="nextTo"/>
        <c:crossAx val="44522544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9</xdr:col>
      <xdr:colOff>1036320</xdr:colOff>
      <xdr:row>96</xdr:row>
      <xdr:rowOff>15241</xdr:rowOff>
    </xdr:from>
    <xdr:to>
      <xdr:col>12</xdr:col>
      <xdr:colOff>281940</xdr:colOff>
      <xdr:row>102</xdr:row>
      <xdr:rowOff>76201</xdr:rowOff>
    </xdr:to>
    <mc:AlternateContent xmlns:mc="http://schemas.openxmlformats.org/markup-compatibility/2006" xmlns:a14="http://schemas.microsoft.com/office/drawing/2010/main">
      <mc:Choice Requires="a14">
        <xdr:graphicFrame macro="">
          <xdr:nvGraphicFramePr>
            <xdr:cNvPr id="8"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9814560" y="19278601"/>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746760</xdr:colOff>
      <xdr:row>13</xdr:row>
      <xdr:rowOff>49530</xdr:rowOff>
    </xdr:from>
    <xdr:to>
      <xdr:col>5</xdr:col>
      <xdr:colOff>7620</xdr:colOff>
      <xdr:row>23</xdr:row>
      <xdr:rowOff>106680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800100</xdr:colOff>
      <xdr:row>28</xdr:row>
      <xdr:rowOff>171450</xdr:rowOff>
    </xdr:from>
    <xdr:to>
      <xdr:col>8</xdr:col>
      <xdr:colOff>335280</xdr:colOff>
      <xdr:row>38</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350520</xdr:colOff>
      <xdr:row>43</xdr:row>
      <xdr:rowOff>125730</xdr:rowOff>
    </xdr:from>
    <xdr:to>
      <xdr:col>9</xdr:col>
      <xdr:colOff>822960</xdr:colOff>
      <xdr:row>61</xdr:row>
      <xdr:rowOff>167640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xdr:colOff>
      <xdr:row>63</xdr:row>
      <xdr:rowOff>133350</xdr:rowOff>
    </xdr:from>
    <xdr:to>
      <xdr:col>9</xdr:col>
      <xdr:colOff>617220</xdr:colOff>
      <xdr:row>74</xdr:row>
      <xdr:rowOff>144780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205740</xdr:colOff>
      <xdr:row>79</xdr:row>
      <xdr:rowOff>87630</xdr:rowOff>
    </xdr:from>
    <xdr:to>
      <xdr:col>6</xdr:col>
      <xdr:colOff>571500</xdr:colOff>
      <xdr:row>89</xdr:row>
      <xdr:rowOff>121920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457200</xdr:colOff>
      <xdr:row>94</xdr:row>
      <xdr:rowOff>102870</xdr:rowOff>
    </xdr:from>
    <xdr:to>
      <xdr:col>7</xdr:col>
      <xdr:colOff>1242060</xdr:colOff>
      <xdr:row>102</xdr:row>
      <xdr:rowOff>167640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327660</xdr:colOff>
      <xdr:row>109</xdr:row>
      <xdr:rowOff>160020</xdr:rowOff>
    </xdr:from>
    <xdr:to>
      <xdr:col>7</xdr:col>
      <xdr:colOff>1219200</xdr:colOff>
      <xdr:row>122</xdr:row>
      <xdr:rowOff>53340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167640</xdr:colOff>
      <xdr:row>122</xdr:row>
      <xdr:rowOff>194310</xdr:rowOff>
    </xdr:from>
    <xdr:to>
      <xdr:col>8</xdr:col>
      <xdr:colOff>53340</xdr:colOff>
      <xdr:row>136</xdr:row>
      <xdr:rowOff>133350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152400</xdr:colOff>
      <xdr:row>136</xdr:row>
      <xdr:rowOff>118110</xdr:rowOff>
    </xdr:from>
    <xdr:to>
      <xdr:col>8</xdr:col>
      <xdr:colOff>38100</xdr:colOff>
      <xdr:row>150</xdr:row>
      <xdr:rowOff>64770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259080</xdr:colOff>
      <xdr:row>41</xdr:row>
      <xdr:rowOff>167640</xdr:rowOff>
    </xdr:from>
    <xdr:to>
      <xdr:col>13</xdr:col>
      <xdr:colOff>342900</xdr:colOff>
      <xdr:row>61</xdr:row>
      <xdr:rowOff>38100</xdr:rowOff>
    </xdr:to>
    <mc:AlternateContent xmlns:mc="http://schemas.openxmlformats.org/markup-compatibility/2006" xmlns:a14="http://schemas.microsoft.com/office/drawing/2010/main">
      <mc:Choice Requires="a14">
        <xdr:graphicFrame macro="">
          <xdr:nvGraphicFramePr>
            <xdr:cNvPr id="14"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378440" y="8412480"/>
              <a:ext cx="1828800" cy="3863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434340</xdr:colOff>
      <xdr:row>28</xdr:row>
      <xdr:rowOff>91440</xdr:rowOff>
    </xdr:from>
    <xdr:to>
      <xdr:col>11</xdr:col>
      <xdr:colOff>160020</xdr:colOff>
      <xdr:row>34</xdr:row>
      <xdr:rowOff>198119</xdr:rowOff>
    </xdr:to>
    <mc:AlternateContent xmlns:mc="http://schemas.openxmlformats.org/markup-compatibility/2006" xmlns:a14="http://schemas.microsoft.com/office/drawing/2010/main">
      <mc:Choice Requires="a14">
        <xdr:graphicFrame macro="">
          <xdr:nvGraphicFramePr>
            <xdr:cNvPr id="15"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212580" y="5722620"/>
              <a:ext cx="1828800" cy="1325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46382</xdr:rowOff>
    </xdr:from>
    <xdr:to>
      <xdr:col>22</xdr:col>
      <xdr:colOff>464820</xdr:colOff>
      <xdr:row>35</xdr:row>
      <xdr:rowOff>19877</xdr:rowOff>
    </xdr:to>
    <xdr:sp macro="" textlink="">
      <xdr:nvSpPr>
        <xdr:cNvPr id="2" name="Rectangle 1"/>
        <xdr:cNvSpPr/>
      </xdr:nvSpPr>
      <xdr:spPr>
        <a:xfrm>
          <a:off x="0" y="46382"/>
          <a:ext cx="15217140" cy="6907695"/>
        </a:xfrm>
        <a:prstGeom prst="rect">
          <a:avLst/>
        </a:prstGeom>
        <a:solidFill>
          <a:schemeClr val="bg1">
            <a:lumMod val="85000"/>
          </a:schemeClr>
        </a:solidFill>
        <a:ln>
          <a:no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390607</xdr:colOff>
      <xdr:row>12</xdr:row>
      <xdr:rowOff>60961</xdr:rowOff>
    </xdr:from>
    <xdr:to>
      <xdr:col>7</xdr:col>
      <xdr:colOff>526442</xdr:colOff>
      <xdr:row>23</xdr:row>
      <xdr:rowOff>45721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414793</xdr:colOff>
      <xdr:row>23</xdr:row>
      <xdr:rowOff>90446</xdr:rowOff>
    </xdr:from>
    <xdr:to>
      <xdr:col>7</xdr:col>
      <xdr:colOff>529424</xdr:colOff>
      <xdr:row>34</xdr:row>
      <xdr:rowOff>160020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578127</xdr:colOff>
      <xdr:row>12</xdr:row>
      <xdr:rowOff>45720</xdr:rowOff>
    </xdr:from>
    <xdr:to>
      <xdr:col>12</xdr:col>
      <xdr:colOff>649357</xdr:colOff>
      <xdr:row>34</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502920</xdr:colOff>
      <xdr:row>0</xdr:row>
      <xdr:rowOff>66261</xdr:rowOff>
    </xdr:from>
    <xdr:to>
      <xdr:col>22</xdr:col>
      <xdr:colOff>380999</xdr:colOff>
      <xdr:row>11</xdr:row>
      <xdr:rowOff>190500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30146</xdr:colOff>
      <xdr:row>12</xdr:row>
      <xdr:rowOff>38100</xdr:rowOff>
    </xdr:from>
    <xdr:to>
      <xdr:col>17</xdr:col>
      <xdr:colOff>327659</xdr:colOff>
      <xdr:row>23</xdr:row>
      <xdr:rowOff>30479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392595</xdr:colOff>
      <xdr:row>12</xdr:row>
      <xdr:rowOff>45721</xdr:rowOff>
    </xdr:from>
    <xdr:to>
      <xdr:col>22</xdr:col>
      <xdr:colOff>373380</xdr:colOff>
      <xdr:row>23</xdr:row>
      <xdr:rowOff>22861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25510</xdr:colOff>
      <xdr:row>23</xdr:row>
      <xdr:rowOff>76200</xdr:rowOff>
    </xdr:from>
    <xdr:to>
      <xdr:col>16</xdr:col>
      <xdr:colOff>190500</xdr:colOff>
      <xdr:row>34</xdr:row>
      <xdr:rowOff>152400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251460</xdr:colOff>
      <xdr:row>23</xdr:row>
      <xdr:rowOff>76200</xdr:rowOff>
    </xdr:from>
    <xdr:to>
      <xdr:col>19</xdr:col>
      <xdr:colOff>342900</xdr:colOff>
      <xdr:row>34</xdr:row>
      <xdr:rowOff>137160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403860</xdr:colOff>
      <xdr:row>23</xdr:row>
      <xdr:rowOff>68580</xdr:rowOff>
    </xdr:from>
    <xdr:to>
      <xdr:col>22</xdr:col>
      <xdr:colOff>403860</xdr:colOff>
      <xdr:row>34</xdr:row>
      <xdr:rowOff>152400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0</xdr:row>
      <xdr:rowOff>0</xdr:rowOff>
    </xdr:from>
    <xdr:to>
      <xdr:col>3</xdr:col>
      <xdr:colOff>324679</xdr:colOff>
      <xdr:row>34</xdr:row>
      <xdr:rowOff>167640</xdr:rowOff>
    </xdr:to>
    <xdr:grpSp>
      <xdr:nvGrpSpPr>
        <xdr:cNvPr id="19" name="Group 18"/>
        <xdr:cNvGrpSpPr/>
      </xdr:nvGrpSpPr>
      <xdr:grpSpPr>
        <a:xfrm>
          <a:off x="0" y="0"/>
          <a:ext cx="2341738" cy="6873240"/>
          <a:chOff x="0" y="0"/>
          <a:chExt cx="2304884" cy="6696986"/>
        </a:xfrm>
      </xdr:grpSpPr>
      <xdr:sp macro="" textlink="">
        <xdr:nvSpPr>
          <xdr:cNvPr id="12" name="Snip and Round Single Corner Rectangle 11"/>
          <xdr:cNvSpPr/>
        </xdr:nvSpPr>
        <xdr:spPr>
          <a:xfrm>
            <a:off x="0" y="0"/>
            <a:ext cx="2304884" cy="6696986"/>
          </a:xfrm>
          <a:prstGeom prst="snip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xdr:cNvSpPr txBox="1"/>
        </xdr:nvSpPr>
        <xdr:spPr>
          <a:xfrm>
            <a:off x="114300" y="167640"/>
            <a:ext cx="1977224" cy="75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tx1"/>
                </a:solidFill>
              </a:rPr>
              <a:t>blinkit</a:t>
            </a:r>
          </a:p>
          <a:p>
            <a:r>
              <a:rPr lang="en-US" sz="1200" b="1">
                <a:solidFill>
                  <a:schemeClr val="tx1"/>
                </a:solidFill>
              </a:rPr>
              <a:t>India's Last Minute</a:t>
            </a:r>
            <a:r>
              <a:rPr lang="en-US" sz="1200" b="1" baseline="0">
                <a:solidFill>
                  <a:schemeClr val="tx1"/>
                </a:solidFill>
              </a:rPr>
              <a:t> App</a:t>
            </a:r>
            <a:endParaRPr lang="en-US" sz="1200" b="1">
              <a:solidFill>
                <a:schemeClr val="tx1"/>
              </a:solidFill>
            </a:endParaRPr>
          </a:p>
        </xdr:txBody>
      </xdr:sp>
      <xdr:sp macro="" textlink="">
        <xdr:nvSpPr>
          <xdr:cNvPr id="14" name="TextBox 13"/>
          <xdr:cNvSpPr txBox="1"/>
        </xdr:nvSpPr>
        <xdr:spPr>
          <a:xfrm>
            <a:off x="15240" y="985630"/>
            <a:ext cx="1384190" cy="3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solidFill>
              </a:rPr>
              <a:t>FILTER PANEL</a:t>
            </a:r>
          </a:p>
        </xdr:txBody>
      </xdr:sp>
      <mc:AlternateContent xmlns:mc="http://schemas.openxmlformats.org/markup-compatibility/2006" xmlns:a14="http://schemas.microsoft.com/office/drawing/2010/main">
        <mc:Choice Requires="a14">
          <xdr:graphicFrame macro="">
            <xdr:nvGraphicFramePr>
              <xdr:cNvPr id="15" name="Outlet Size 2"/>
              <xdr:cNvGraphicFramePr/>
            </xdr:nvGraphicFramePr>
            <xdr:xfrm>
              <a:off x="205740" y="1352716"/>
              <a:ext cx="1824824" cy="1269558"/>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209030" y="1388317"/>
                <a:ext cx="1854002" cy="1302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Outlet Location Type 1"/>
              <xdr:cNvGraphicFramePr/>
            </xdr:nvGraphicFramePr>
            <xdr:xfrm>
              <a:off x="213360" y="2690854"/>
              <a:ext cx="1824824" cy="1330517"/>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16772" y="2761673"/>
                <a:ext cx="1854002" cy="1365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Item Type 1"/>
              <xdr:cNvGraphicFramePr/>
            </xdr:nvGraphicFramePr>
            <xdr:xfrm>
              <a:off x="198120" y="4082332"/>
              <a:ext cx="1824824" cy="2507974"/>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1288" y="4189772"/>
                <a:ext cx="1854002" cy="257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458545</xdr:colOff>
      <xdr:row>0</xdr:row>
      <xdr:rowOff>177950</xdr:rowOff>
    </xdr:from>
    <xdr:to>
      <xdr:col>6</xdr:col>
      <xdr:colOff>656665</xdr:colOff>
      <xdr:row>5</xdr:row>
      <xdr:rowOff>193190</xdr:rowOff>
    </xdr:to>
    <xdr:sp macro="" textlink="">
      <xdr:nvSpPr>
        <xdr:cNvPr id="20" name="Rounded Rectangle 19"/>
        <xdr:cNvSpPr/>
      </xdr:nvSpPr>
      <xdr:spPr>
        <a:xfrm>
          <a:off x="2475604" y="177950"/>
          <a:ext cx="2215179" cy="1001358"/>
        </a:xfrm>
        <a:prstGeom prst="roundRect">
          <a:avLst/>
        </a:prstGeom>
        <a:solidFill>
          <a:schemeClr val="accent2">
            <a:lumMod val="60000"/>
            <a:lumOff val="40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468855</xdr:colOff>
      <xdr:row>6</xdr:row>
      <xdr:rowOff>95026</xdr:rowOff>
    </xdr:from>
    <xdr:to>
      <xdr:col>6</xdr:col>
      <xdr:colOff>666975</xdr:colOff>
      <xdr:row>11</xdr:row>
      <xdr:rowOff>110266</xdr:rowOff>
    </xdr:to>
    <xdr:sp macro="" textlink="">
      <xdr:nvSpPr>
        <xdr:cNvPr id="21" name="Rounded Rectangle 20"/>
        <xdr:cNvSpPr/>
      </xdr:nvSpPr>
      <xdr:spPr>
        <a:xfrm>
          <a:off x="2485914" y="1278367"/>
          <a:ext cx="2215179" cy="1001358"/>
        </a:xfrm>
        <a:prstGeom prst="roundRect">
          <a:avLst/>
        </a:prstGeom>
        <a:solidFill>
          <a:schemeClr val="accent2">
            <a:lumMod val="60000"/>
            <a:lumOff val="40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144780</xdr:colOff>
      <xdr:row>6</xdr:row>
      <xdr:rowOff>53340</xdr:rowOff>
    </xdr:from>
    <xdr:to>
      <xdr:col>10</xdr:col>
      <xdr:colOff>342900</xdr:colOff>
      <xdr:row>11</xdr:row>
      <xdr:rowOff>68580</xdr:rowOff>
    </xdr:to>
    <xdr:sp macro="" textlink="">
      <xdr:nvSpPr>
        <xdr:cNvPr id="22" name="Rounded Rectangle 21"/>
        <xdr:cNvSpPr/>
      </xdr:nvSpPr>
      <xdr:spPr>
        <a:xfrm>
          <a:off x="4851251" y="1236681"/>
          <a:ext cx="2215178" cy="1001358"/>
        </a:xfrm>
        <a:prstGeom prst="roundRect">
          <a:avLst/>
        </a:prstGeom>
        <a:solidFill>
          <a:schemeClr val="accent2">
            <a:lumMod val="60000"/>
            <a:lumOff val="40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129540</xdr:colOff>
      <xdr:row>0</xdr:row>
      <xdr:rowOff>161365</xdr:rowOff>
    </xdr:from>
    <xdr:to>
      <xdr:col>10</xdr:col>
      <xdr:colOff>327660</xdr:colOff>
      <xdr:row>5</xdr:row>
      <xdr:rowOff>176605</xdr:rowOff>
    </xdr:to>
    <xdr:sp macro="" textlink="">
      <xdr:nvSpPr>
        <xdr:cNvPr id="23" name="Rounded Rectangle 22"/>
        <xdr:cNvSpPr/>
      </xdr:nvSpPr>
      <xdr:spPr>
        <a:xfrm>
          <a:off x="4836011" y="161365"/>
          <a:ext cx="2215178" cy="1001358"/>
        </a:xfrm>
        <a:prstGeom prst="roundRect">
          <a:avLst/>
        </a:prstGeom>
        <a:solidFill>
          <a:schemeClr val="accent2">
            <a:lumMod val="60000"/>
            <a:lumOff val="40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98611</xdr:colOff>
      <xdr:row>3</xdr:row>
      <xdr:rowOff>53788</xdr:rowOff>
    </xdr:from>
    <xdr:to>
      <xdr:col>6</xdr:col>
      <xdr:colOff>421340</xdr:colOff>
      <xdr:row>5</xdr:row>
      <xdr:rowOff>161364</xdr:rowOff>
    </xdr:to>
    <xdr:sp macro="" textlink="Sheet5!A7">
      <xdr:nvSpPr>
        <xdr:cNvPr id="25" name="Rectangle 24"/>
        <xdr:cNvSpPr/>
      </xdr:nvSpPr>
      <xdr:spPr>
        <a:xfrm>
          <a:off x="2788023" y="645459"/>
          <a:ext cx="1667435" cy="502023"/>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9ADD29B-0207-462A-9862-ECBACC1F4A7D}" type="TxLink">
            <a:rPr lang="en-US" sz="2800" b="1" i="0" u="none" strike="noStrike">
              <a:solidFill>
                <a:srgbClr val="000000"/>
              </a:solidFill>
              <a:latin typeface="Calibri"/>
              <a:ea typeface="Calibri"/>
              <a:cs typeface="Calibri"/>
            </a:rPr>
            <a:t>$1.20 M</a:t>
          </a:fld>
          <a:endParaRPr lang="en-US" sz="2400" b="1"/>
        </a:p>
      </xdr:txBody>
    </xdr:sp>
    <xdr:clientData/>
  </xdr:twoCellAnchor>
  <xdr:twoCellAnchor>
    <xdr:from>
      <xdr:col>4</xdr:col>
      <xdr:colOff>26894</xdr:colOff>
      <xdr:row>0</xdr:row>
      <xdr:rowOff>188259</xdr:rowOff>
    </xdr:from>
    <xdr:to>
      <xdr:col>6</xdr:col>
      <xdr:colOff>170329</xdr:colOff>
      <xdr:row>3</xdr:row>
      <xdr:rowOff>17929</xdr:rowOff>
    </xdr:to>
    <xdr:sp macro="" textlink="">
      <xdr:nvSpPr>
        <xdr:cNvPr id="29" name="TextBox 28"/>
        <xdr:cNvSpPr txBox="1"/>
      </xdr:nvSpPr>
      <xdr:spPr>
        <a:xfrm>
          <a:off x="2716306" y="188259"/>
          <a:ext cx="1488141" cy="421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Sales</a:t>
          </a:r>
        </a:p>
      </xdr:txBody>
    </xdr:sp>
    <xdr:clientData/>
  </xdr:twoCellAnchor>
  <xdr:twoCellAnchor>
    <xdr:from>
      <xdr:col>7</xdr:col>
      <xdr:colOff>573740</xdr:colOff>
      <xdr:row>3</xdr:row>
      <xdr:rowOff>44824</xdr:rowOff>
    </xdr:from>
    <xdr:to>
      <xdr:col>9</xdr:col>
      <xdr:colOff>448237</xdr:colOff>
      <xdr:row>5</xdr:row>
      <xdr:rowOff>152400</xdr:rowOff>
    </xdr:to>
    <xdr:sp macro="" textlink="Sheet5!B7">
      <xdr:nvSpPr>
        <xdr:cNvPr id="30" name="Rectangle 29"/>
        <xdr:cNvSpPr/>
      </xdr:nvSpPr>
      <xdr:spPr>
        <a:xfrm>
          <a:off x="5280211" y="636495"/>
          <a:ext cx="1219202" cy="502023"/>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CFEF4E23-5B57-4E2F-8E0D-6F508032A226}" type="TxLink">
            <a:rPr lang="en-US" sz="2800" b="1" i="0" u="none" strike="noStrike">
              <a:solidFill>
                <a:srgbClr val="000000"/>
              </a:solidFill>
              <a:latin typeface="Calibri"/>
              <a:ea typeface="Calibri"/>
              <a:cs typeface="Calibri"/>
            </a:rPr>
            <a:pPr marL="0" indent="0" algn="l"/>
            <a:t>$ 141</a:t>
          </a:fld>
          <a:endParaRPr lang="en-US" sz="2800" b="1" i="0" u="none" strike="noStrike">
            <a:solidFill>
              <a:srgbClr val="000000"/>
            </a:solidFill>
            <a:latin typeface="Calibri"/>
            <a:ea typeface="Calibri"/>
            <a:cs typeface="Calibri"/>
          </a:endParaRPr>
        </a:p>
      </xdr:txBody>
    </xdr:sp>
    <xdr:clientData/>
  </xdr:twoCellAnchor>
  <xdr:twoCellAnchor>
    <xdr:from>
      <xdr:col>8</xdr:col>
      <xdr:colOff>143434</xdr:colOff>
      <xdr:row>8</xdr:row>
      <xdr:rowOff>188260</xdr:rowOff>
    </xdr:from>
    <xdr:to>
      <xdr:col>10</xdr:col>
      <xdr:colOff>17931</xdr:colOff>
      <xdr:row>11</xdr:row>
      <xdr:rowOff>98612</xdr:rowOff>
    </xdr:to>
    <xdr:sp macro="" textlink="Sheet5!D7">
      <xdr:nvSpPr>
        <xdr:cNvPr id="35" name="Rectangle 34"/>
        <xdr:cNvSpPr/>
      </xdr:nvSpPr>
      <xdr:spPr>
        <a:xfrm>
          <a:off x="5522258" y="1766048"/>
          <a:ext cx="1219202" cy="502023"/>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55FEE210-35B6-45F7-838C-85A3E1B44D9F}" type="TxLink">
            <a:rPr lang="en-US" sz="2800" b="1" i="0" u="none" strike="noStrike">
              <a:solidFill>
                <a:srgbClr val="000000"/>
              </a:solidFill>
              <a:latin typeface="Calibri"/>
              <a:ea typeface="Calibri"/>
              <a:cs typeface="Calibri"/>
            </a:rPr>
            <a:pPr marL="0" indent="0" algn="l"/>
            <a:t>4.0</a:t>
          </a:fld>
          <a:endParaRPr lang="en-US" sz="2800" b="1" i="0" u="none" strike="noStrike">
            <a:solidFill>
              <a:srgbClr val="000000"/>
            </a:solidFill>
            <a:latin typeface="Calibri"/>
            <a:ea typeface="Calibri"/>
            <a:cs typeface="Calibri"/>
          </a:endParaRPr>
        </a:p>
      </xdr:txBody>
    </xdr:sp>
    <xdr:clientData/>
  </xdr:twoCellAnchor>
  <xdr:twoCellAnchor>
    <xdr:from>
      <xdr:col>4</xdr:col>
      <xdr:colOff>295834</xdr:colOff>
      <xdr:row>8</xdr:row>
      <xdr:rowOff>161365</xdr:rowOff>
    </xdr:from>
    <xdr:to>
      <xdr:col>6</xdr:col>
      <xdr:colOff>170330</xdr:colOff>
      <xdr:row>11</xdr:row>
      <xdr:rowOff>71717</xdr:rowOff>
    </xdr:to>
    <xdr:sp macro="" textlink="Sheet5!C7">
      <xdr:nvSpPr>
        <xdr:cNvPr id="36" name="Rectangle 35"/>
        <xdr:cNvSpPr/>
      </xdr:nvSpPr>
      <xdr:spPr>
        <a:xfrm>
          <a:off x="2985246" y="1739153"/>
          <a:ext cx="1219202" cy="502023"/>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35BE4C4B-F0D1-40FE-BD0A-05ACAF73D604}" type="TxLink">
            <a:rPr lang="en-US" sz="2800" b="1" i="0" u="none" strike="noStrike">
              <a:solidFill>
                <a:srgbClr val="000000"/>
              </a:solidFill>
              <a:latin typeface="Calibri"/>
              <a:ea typeface="Calibri"/>
              <a:cs typeface="Calibri"/>
            </a:rPr>
            <a:pPr marL="0" indent="0" algn="l"/>
            <a:t>8523</a:t>
          </a:fld>
          <a:endParaRPr lang="en-US" sz="2800" b="1" i="0" u="none" strike="noStrike">
            <a:solidFill>
              <a:srgbClr val="000000"/>
            </a:solidFill>
            <a:latin typeface="Calibri"/>
            <a:ea typeface="Calibri"/>
            <a:cs typeface="Calibri"/>
          </a:endParaRPr>
        </a:p>
      </xdr:txBody>
    </xdr:sp>
    <xdr:clientData/>
  </xdr:twoCellAnchor>
  <xdr:twoCellAnchor>
    <xdr:from>
      <xdr:col>3</xdr:col>
      <xdr:colOff>582706</xdr:colOff>
      <xdr:row>6</xdr:row>
      <xdr:rowOff>152399</xdr:rowOff>
    </xdr:from>
    <xdr:to>
      <xdr:col>6</xdr:col>
      <xdr:colOff>161364</xdr:colOff>
      <xdr:row>8</xdr:row>
      <xdr:rowOff>98611</xdr:rowOff>
    </xdr:to>
    <xdr:sp macro="" textlink="">
      <xdr:nvSpPr>
        <xdr:cNvPr id="37" name="TextBox 36"/>
        <xdr:cNvSpPr txBox="1"/>
      </xdr:nvSpPr>
      <xdr:spPr>
        <a:xfrm>
          <a:off x="2599765" y="1335740"/>
          <a:ext cx="1595717"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No of Items</a:t>
          </a:r>
        </a:p>
      </xdr:txBody>
    </xdr:sp>
    <xdr:clientData/>
  </xdr:twoCellAnchor>
  <xdr:twoCellAnchor>
    <xdr:from>
      <xdr:col>7</xdr:col>
      <xdr:colOff>197223</xdr:colOff>
      <xdr:row>6</xdr:row>
      <xdr:rowOff>71717</xdr:rowOff>
    </xdr:from>
    <xdr:to>
      <xdr:col>10</xdr:col>
      <xdr:colOff>125506</xdr:colOff>
      <xdr:row>8</xdr:row>
      <xdr:rowOff>80683</xdr:rowOff>
    </xdr:to>
    <xdr:sp macro="" textlink="">
      <xdr:nvSpPr>
        <xdr:cNvPr id="38" name="TextBox 37"/>
        <xdr:cNvSpPr txBox="1"/>
      </xdr:nvSpPr>
      <xdr:spPr>
        <a:xfrm>
          <a:off x="4903694" y="1255058"/>
          <a:ext cx="1945341" cy="403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mn-lt"/>
            </a:rPr>
            <a:t>Average Rating</a:t>
          </a:r>
        </a:p>
      </xdr:txBody>
    </xdr:sp>
    <xdr:clientData/>
  </xdr:twoCellAnchor>
  <xdr:twoCellAnchor>
    <xdr:from>
      <xdr:col>7</xdr:col>
      <xdr:colOff>251011</xdr:colOff>
      <xdr:row>0</xdr:row>
      <xdr:rowOff>134470</xdr:rowOff>
    </xdr:from>
    <xdr:to>
      <xdr:col>9</xdr:col>
      <xdr:colOff>591671</xdr:colOff>
      <xdr:row>2</xdr:row>
      <xdr:rowOff>107576</xdr:rowOff>
    </xdr:to>
    <xdr:sp macro="" textlink="">
      <xdr:nvSpPr>
        <xdr:cNvPr id="39" name="TextBox 38"/>
        <xdr:cNvSpPr txBox="1"/>
      </xdr:nvSpPr>
      <xdr:spPr>
        <a:xfrm>
          <a:off x="4957482" y="134470"/>
          <a:ext cx="1685365"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latin typeface="+mn-lt"/>
              <a:ea typeface="+mn-ea"/>
              <a:cs typeface="+mn-cs"/>
            </a:rPr>
            <a:t>Average</a:t>
          </a:r>
          <a:r>
            <a:rPr lang="en-US" sz="2000" b="1" baseline="0"/>
            <a:t> Sales</a:t>
          </a:r>
          <a:endParaRPr lang="en-US"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ziur Rahman Nayeem" refreshedDate="45759.626067013887" createdVersion="6" refreshedVersion="6" minRefreshableVersion="3" recordCount="9222">
  <cacheSource type="worksheet">
    <worksheetSource name="Table1"/>
  </cacheSource>
  <cacheFields count="13">
    <cacheField name="Item Fat Content" numFmtId="0">
      <sharedItems containsBlank="1" count="4">
        <s v="Regular"/>
        <s v="Low Fat"/>
        <s v=" "/>
        <m/>
      </sharedItems>
    </cacheField>
    <cacheField name="Sr. no "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Total Sales" numFmtId="0">
      <sharedItems containsString="0" containsBlank="1" containsNumber="1" minValue="31.29" maxValue="266.88839999999999" count="5939">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m/>
      </sharedItems>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222">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2"/>
    <n v="8523"/>
    <s v="FDM58"/>
    <x v="6"/>
    <x v="7"/>
    <s v="OUT027"/>
    <x v="1"/>
    <x v="0"/>
    <x v="3"/>
    <n v="0"/>
    <m/>
    <x v="5937"/>
    <n v="4"/>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r>
    <x v="3"/>
    <m/>
    <m/>
    <x v="16"/>
    <x v="9"/>
    <m/>
    <x v="3"/>
    <x v="3"/>
    <x v="4"/>
    <m/>
    <m/>
    <x v="593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4:B17" firstHeaderRow="1" firstDataRow="1" firstDataCol="1"/>
  <pivotFields count="13">
    <pivotField axis="axisRow" showAll="0">
      <items count="5">
        <item h="1" x="2"/>
        <item x="1"/>
        <item x="0"/>
        <item h="1" x="3"/>
        <item t="default"/>
      </items>
    </pivotField>
    <pivotField showAll="0"/>
    <pivotField showAll="0"/>
    <pivotField showAll="0"/>
    <pivotField showAll="0"/>
    <pivotField showAll="0"/>
    <pivotField showAll="0"/>
    <pivotField showAll="0">
      <items count="5">
        <item x="2"/>
        <item x="0"/>
        <item x="1"/>
        <item h="1" x="3"/>
        <item t="default"/>
      </items>
    </pivotField>
    <pivotField showAll="0"/>
    <pivotField showAll="0"/>
    <pivotField showAll="0"/>
    <pivotField dataField="1" showAll="0" defaultSubtotal="0"/>
    <pivotField showAll="0"/>
  </pivotFields>
  <rowFields count="1">
    <field x="0"/>
  </rowFields>
  <rowItems count="3">
    <i>
      <x v="1"/>
    </i>
    <i>
      <x v="2"/>
    </i>
    <i t="grand">
      <x/>
    </i>
  </rowItems>
  <colItems count="1">
    <i/>
  </colItems>
  <dataFields count="1">
    <dataField name="Sum of Total Sales" fld="11" baseField="0" baseItem="1" numFmtId="168"/>
  </dataFields>
  <formats count="11">
    <format dxfId="10">
      <pivotArea type="all" dataOnly="0" outline="0" fieldPosition="0"/>
    </format>
    <format dxfId="9">
      <pivotArea outline="0" collapsedLevelsAreSubtotals="1" fieldPosition="0"/>
    </format>
    <format dxfId="8">
      <pivotArea collapsedLevelsAreSubtotals="1" fieldPosition="0">
        <references count="1">
          <reference field="0" count="1">
            <x v="2"/>
          </reference>
        </references>
      </pivotArea>
    </format>
    <format dxfId="7">
      <pivotArea outline="0" collapsedLevelsAreSubtotals="1" fieldPosition="0"/>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outline="0" axis="axisValues"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5">
        <item x="2"/>
        <item x="0"/>
        <item x="1"/>
        <item h="1" x="3"/>
        <item t="default"/>
      </items>
    </pivotField>
    <pivotField showAll="0"/>
    <pivotField showAll="0"/>
    <pivotField showAll="0"/>
    <pivotField dataField="1" showAll="0" defaultSubtotal="0"/>
    <pivotField dataField="1" showAll="0"/>
  </pivotFields>
  <rowItems count="1">
    <i/>
  </rowItems>
  <colFields count="1">
    <field x="-2"/>
  </colFields>
  <colItems count="4">
    <i>
      <x/>
    </i>
    <i i="1">
      <x v="1"/>
    </i>
    <i i="2">
      <x v="2"/>
    </i>
    <i i="3">
      <x v="3"/>
    </i>
  </colItems>
  <dataFields count="4">
    <dataField name="Sum of Total Sales" fld="11" baseField="0" baseItem="450186032" numFmtId="165"/>
    <dataField name="Average of Total Sales" fld="11" subtotal="average" baseField="0" baseItem="1" numFmtId="166"/>
    <dataField name="Count of Sr. no " fld="1" subtotal="count" baseField="0" baseItem="0"/>
    <dataField name="Average of Rating" fld="12" subtotal="average" baseField="0" baseItem="1" numFmtId="167"/>
  </dataFields>
  <formats count="6">
    <format dxfId="16">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3"/>
          </reference>
        </references>
      </pivotArea>
    </format>
    <format dxfId="13">
      <pivotArea type="all" dataOnly="0" outline="0" fieldPosition="0"/>
    </format>
    <format dxfId="12">
      <pivotArea outline="0" collapsedLevelsAreSubtotals="1" fieldPosition="0"/>
    </format>
    <format dxfId="1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A116:B120" firstHeaderRow="1" firstDataRow="1" firstDataCol="1"/>
  <pivotFields count="13">
    <pivotField showAll="0">
      <items count="5">
        <item h="1" x="2"/>
        <item x="0"/>
        <item h="1" x="3"/>
        <item x="1"/>
        <item t="default"/>
      </items>
    </pivotField>
    <pivotField showAll="0"/>
    <pivotField showAll="0"/>
    <pivotField showAll="0" sortType="de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h="1" x="3"/>
        <item t="default"/>
      </items>
    </pivotField>
    <pivotField axis="axisRow" showAll="0" sumSubtotal="1" maxSubtotal="1">
      <items count="7">
        <item x="2"/>
        <item x="3"/>
        <item x="1"/>
        <item x="0"/>
        <item x="4"/>
        <item t="sum"/>
        <item t="max"/>
      </items>
    </pivotField>
    <pivotField showAll="0"/>
    <pivotField showAll="0"/>
    <pivotField dataField="1" showAll="0" defaultSubtotal="0"/>
    <pivotField showAll="0"/>
  </pivotFields>
  <rowFields count="1">
    <field x="8"/>
  </rowFields>
  <rowItems count="4">
    <i>
      <x/>
    </i>
    <i>
      <x v="1"/>
    </i>
    <i>
      <x v="2"/>
    </i>
    <i>
      <x v="3"/>
    </i>
  </rowItems>
  <colItems count="1">
    <i/>
  </colItems>
  <dataFields count="1">
    <dataField name="Sum of Total Sales" fld="11" baseField="0" baseItem="1" numFmtId="168"/>
  </dataFields>
  <formats count="26">
    <format dxfId="42">
      <pivotArea type="all" dataOnly="0" outline="0" fieldPosition="0"/>
    </format>
    <format dxfId="41">
      <pivotArea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0" type="button" dataOnly="0" labelOnly="1" outline="0"/>
    </format>
    <format dxfId="36">
      <pivotArea dataOnly="0" labelOnly="1" outline="0" axis="axisValues" fieldPosition="0"/>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0" type="button" dataOnly="0" labelOnly="1" outline="0"/>
    </format>
    <format dxfId="29">
      <pivotArea type="topRight" dataOnly="0" labelOnly="1" outline="0" fieldPosition="0"/>
    </format>
    <format dxfId="28">
      <pivotArea field="6" type="button" dataOnly="0" labelOnly="1" outline="0"/>
    </format>
    <format dxfId="27">
      <pivotArea type="all" dataOnly="0" outline="0" fieldPosition="0"/>
    </format>
    <format dxfId="26">
      <pivotArea outline="0" collapsedLevelsAreSubtotals="1" fieldPosition="0"/>
    </format>
    <format dxfId="25">
      <pivotArea field="3" type="button" dataOnly="0" labelOnly="1" outline="0"/>
    </format>
    <format dxfId="24">
      <pivotArea dataOnly="0" labelOnly="1" outline="0" axis="axisValues"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8" type="button" dataOnly="0" labelOnly="1" outline="0" axis="axisRow" fieldPosition="0"/>
    </format>
    <format dxfId="19">
      <pivotArea dataOnly="0" labelOnly="1" outline="0" axis="axisValues" fieldPosition="0"/>
    </format>
    <format dxfId="18">
      <pivotArea dataOnly="0" labelOnly="1" fieldPosition="0">
        <references count="1">
          <reference field="8" count="4">
            <x v="0"/>
            <x v="1"/>
            <x v="2"/>
            <x v="3"/>
          </reference>
        </references>
      </pivotArea>
    </format>
    <format dxfId="17">
      <pivotArea dataOnly="0" labelOnly="1" outline="0" axis="axisValues" fieldPosition="0"/>
    </format>
  </formats>
  <chartFormats count="9">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location ref="A141:B145" firstHeaderRow="1" firstDataRow="1" firstDataCol="1"/>
  <pivotFields count="13">
    <pivotField showAll="0">
      <items count="5">
        <item h="1" x="2"/>
        <item x="0"/>
        <item h="1" x="3"/>
        <item x="1"/>
        <item t="default"/>
      </items>
    </pivotField>
    <pivotField showAll="0"/>
    <pivotField showAll="0"/>
    <pivotField showAll="0" sortType="de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h="1" x="3"/>
        <item t="default"/>
      </items>
    </pivotField>
    <pivotField axis="axisRow" showAll="0" sumSubtotal="1" maxSubtotal="1">
      <items count="7">
        <item x="2"/>
        <item x="0"/>
        <item x="1"/>
        <item x="3"/>
        <item x="4"/>
        <item t="sum"/>
        <item t="max"/>
      </items>
    </pivotField>
    <pivotField showAll="0"/>
    <pivotField showAll="0"/>
    <pivotField dataField="1" showAll="0" defaultSubtotal="0"/>
    <pivotField showAll="0"/>
  </pivotFields>
  <rowFields count="1">
    <field x="8"/>
  </rowFields>
  <rowItems count="4">
    <i>
      <x/>
    </i>
    <i>
      <x v="1"/>
    </i>
    <i>
      <x v="2"/>
    </i>
    <i>
      <x v="3"/>
    </i>
  </rowItems>
  <colItems count="1">
    <i/>
  </colItems>
  <dataFields count="1">
    <dataField name="Count of Total Sales" fld="11" subtotal="count" baseField="8" baseItem="0" numFmtId="1"/>
  </dataFields>
  <formats count="28">
    <format dxfId="70">
      <pivotArea type="all" dataOnly="0" outline="0" fieldPosition="0"/>
    </format>
    <format dxfId="69">
      <pivotArea outline="0" collapsedLevelsAreSubtotals="1"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0" type="button" dataOnly="0" labelOnly="1" outline="0"/>
    </format>
    <format dxfId="64">
      <pivotArea dataOnly="0" labelOnly="1" outline="0" axis="axisValues" fieldPosition="0"/>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0" type="button" dataOnly="0" labelOnly="1" outline="0"/>
    </format>
    <format dxfId="57">
      <pivotArea type="topRight" dataOnly="0" labelOnly="1" outline="0" fieldPosition="0"/>
    </format>
    <format dxfId="56">
      <pivotArea field="6" type="button" dataOnly="0" labelOnly="1" outline="0"/>
    </format>
    <format dxfId="55">
      <pivotArea type="all" dataOnly="0" outline="0" fieldPosition="0"/>
    </format>
    <format dxfId="54">
      <pivotArea outline="0" collapsedLevelsAreSubtotals="1" fieldPosition="0"/>
    </format>
    <format dxfId="53">
      <pivotArea field="3" type="button" dataOnly="0" labelOnly="1" outline="0"/>
    </format>
    <format dxfId="52">
      <pivotArea dataOnly="0" labelOnly="1" outline="0" axis="axisValues" fieldPosition="0"/>
    </format>
    <format dxfId="51">
      <pivotArea dataOnly="0" labelOnly="1" outline="0" axis="axisValues" fieldPosition="0"/>
    </format>
    <format dxfId="50">
      <pivotArea outline="0" collapsedLevelsAreSubtotals="1"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8" type="button" dataOnly="0" labelOnly="1" outline="0" axis="axisRow" fieldPosition="0"/>
    </format>
    <format dxfId="45">
      <pivotArea dataOnly="0" labelOnly="1" outline="0" axis="axisValues" fieldPosition="0"/>
    </format>
    <format dxfId="44">
      <pivotArea dataOnly="0" labelOnly="1" fieldPosition="0">
        <references count="1">
          <reference field="8" count="4">
            <x v="0"/>
            <x v="1"/>
            <x v="2"/>
            <x v="3"/>
          </reference>
        </references>
      </pivotArea>
    </format>
    <format dxfId="43">
      <pivotArea dataOnly="0" labelOnly="1" outline="0" axis="axisValues" fieldPosition="0"/>
    </format>
  </formats>
  <chartFormats count="11">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0:C34" firstHeaderRow="1" firstDataRow="2" firstDataCol="1"/>
  <pivotFields count="13">
    <pivotField axis="axisCol" showAll="0">
      <items count="5">
        <item h="1" x="2"/>
        <item x="0"/>
        <item h="1" x="3"/>
        <item x="1"/>
        <item t="default"/>
      </items>
    </pivotField>
    <pivotField showAll="0"/>
    <pivotField showAll="0"/>
    <pivotField showAll="0"/>
    <pivotField showAll="0"/>
    <pivotField showAll="0"/>
    <pivotField axis="axisRow" showAll="0">
      <items count="5">
        <item x="0"/>
        <item x="2"/>
        <item x="1"/>
        <item h="1" x="3"/>
        <item t="default"/>
      </items>
    </pivotField>
    <pivotField showAll="0">
      <items count="5">
        <item x="2"/>
        <item x="0"/>
        <item x="1"/>
        <item h="1" x="3"/>
        <item t="default"/>
      </items>
    </pivotField>
    <pivotField showAll="0"/>
    <pivotField showAll="0"/>
    <pivotField showAll="0"/>
    <pivotField dataField="1" showAll="0" defaultSubtotal="0"/>
    <pivotField showAll="0"/>
  </pivotFields>
  <rowFields count="1">
    <field x="6"/>
  </rowFields>
  <rowItems count="3">
    <i>
      <x/>
    </i>
    <i>
      <x v="1"/>
    </i>
    <i>
      <x v="2"/>
    </i>
  </rowItems>
  <colFields count="1">
    <field x="0"/>
  </colFields>
  <colItems count="2">
    <i>
      <x v="1"/>
    </i>
    <i>
      <x v="3"/>
    </i>
  </colItems>
  <dataFields count="1">
    <dataField name="Sum of Total Sales" fld="11" baseField="0" baseItem="1" numFmtId="168"/>
  </dataFields>
  <formats count="17">
    <format dxfId="87">
      <pivotArea type="all" dataOnly="0" outline="0" fieldPosition="0"/>
    </format>
    <format dxfId="86">
      <pivotArea outline="0" collapsedLevelsAreSubtotals="1"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0" type="button" dataOnly="0" labelOnly="1" outline="0" axis="axisCol" fieldPosition="0"/>
    </format>
    <format dxfId="81">
      <pivotArea dataOnly="0" labelOnly="1" outline="0" axis="axisValues" fieldPosition="0"/>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type="origin" dataOnly="0" labelOnly="1" outline="0" fieldPosition="0"/>
    </format>
    <format dxfId="75">
      <pivotArea field="0" type="button" dataOnly="0" labelOnly="1" outline="0" axis="axisCol" fieldPosition="0"/>
    </format>
    <format dxfId="74">
      <pivotArea type="topRight" dataOnly="0" labelOnly="1" outline="0" fieldPosition="0"/>
    </format>
    <format dxfId="73">
      <pivotArea field="6" type="button" dataOnly="0" labelOnly="1" outline="0" axis="axisRow" fieldPosition="0"/>
    </format>
    <format dxfId="72">
      <pivotArea dataOnly="0" labelOnly="1" fieldPosition="0">
        <references count="1">
          <reference field="6" count="3">
            <x v="0"/>
            <x v="1"/>
            <x v="2"/>
          </reference>
        </references>
      </pivotArea>
    </format>
    <format dxfId="71">
      <pivotArea dataOnly="0" labelOnly="1" fieldPosition="0">
        <references count="1">
          <reference field="0" count="0"/>
        </references>
      </pivotArea>
    </format>
  </formats>
  <chartFormats count="5">
    <chartFormat chart="0" format="1"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0" count="1" selected="0">
            <x v="3"/>
          </reference>
        </references>
      </pivotArea>
    </chartFormat>
    <chartFormat chart="1" format="5" series="1">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2">
          <reference field="4294967294" count="1" selected="0">
            <x v="0"/>
          </reference>
          <reference field="0" count="1" selected="0">
            <x v="1"/>
          </reference>
        </references>
      </pivotArea>
    </chartFormat>
    <chartFormat chart="3" format="9"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location ref="A127:B131" firstHeaderRow="1" firstDataRow="1" firstDataCol="1"/>
  <pivotFields count="13">
    <pivotField showAll="0">
      <items count="5">
        <item h="1" x="2"/>
        <item x="0"/>
        <item h="1" x="3"/>
        <item x="1"/>
        <item t="default"/>
      </items>
    </pivotField>
    <pivotField showAll="0"/>
    <pivotField showAll="0"/>
    <pivotField showAll="0" sortType="de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h="1" x="3"/>
        <item t="default"/>
      </items>
    </pivotField>
    <pivotField axis="axisRow" showAll="0" sumSubtotal="1" maxSubtotal="1">
      <items count="7">
        <item x="2"/>
        <item x="0"/>
        <item x="1"/>
        <item x="3"/>
        <item x="4"/>
        <item t="sum"/>
        <item t="max"/>
      </items>
    </pivotField>
    <pivotField showAll="0"/>
    <pivotField showAll="0"/>
    <pivotField dataField="1" showAll="0" defaultSubtotal="0"/>
    <pivotField showAll="0"/>
  </pivotFields>
  <rowFields count="1">
    <field x="8"/>
  </rowFields>
  <rowItems count="4">
    <i>
      <x/>
    </i>
    <i>
      <x v="1"/>
    </i>
    <i>
      <x v="2"/>
    </i>
    <i>
      <x v="3"/>
    </i>
  </rowItems>
  <colItems count="1">
    <i/>
  </colItems>
  <dataFields count="1">
    <dataField name="Average of Total Sales" fld="11" subtotal="average" baseField="8" baseItem="0" numFmtId="164"/>
  </dataFields>
  <formats count="27">
    <format dxfId="114">
      <pivotArea type="all" dataOnly="0" outline="0" fieldPosition="0"/>
    </format>
    <format dxfId="113">
      <pivotArea outline="0" collapsedLevelsAreSubtotals="1" fieldPosition="0"/>
    </format>
    <format dxfId="112">
      <pivotArea outline="0" collapsedLevelsAreSubtotals="1" fieldPosition="0"/>
    </format>
    <format dxfId="111">
      <pivotArea type="all" dataOnly="0" outline="0" fieldPosition="0"/>
    </format>
    <format dxfId="110">
      <pivotArea outline="0" collapsedLevelsAreSubtotals="1" fieldPosition="0"/>
    </format>
    <format dxfId="109">
      <pivotArea field="0" type="button" dataOnly="0" labelOnly="1" outline="0"/>
    </format>
    <format dxfId="108">
      <pivotArea dataOnly="0" labelOnly="1" outline="0" axis="axisValues" fieldPosition="0"/>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type="origin" dataOnly="0" labelOnly="1" outline="0" fieldPosition="0"/>
    </format>
    <format dxfId="102">
      <pivotArea field="0" type="button" dataOnly="0" labelOnly="1" outline="0"/>
    </format>
    <format dxfId="101">
      <pivotArea type="topRight" dataOnly="0" labelOnly="1" outline="0" fieldPosition="0"/>
    </format>
    <format dxfId="100">
      <pivotArea field="6" type="button" dataOnly="0" labelOnly="1" outline="0"/>
    </format>
    <format dxfId="99">
      <pivotArea type="all" dataOnly="0" outline="0" fieldPosition="0"/>
    </format>
    <format dxfId="98">
      <pivotArea outline="0" collapsedLevelsAreSubtotals="1" fieldPosition="0"/>
    </format>
    <format dxfId="97">
      <pivotArea field="3" type="button" dataOnly="0" labelOnly="1" outline="0"/>
    </format>
    <format dxfId="96">
      <pivotArea dataOnly="0" labelOnly="1" outline="0" axis="axisValues" fieldPosition="0"/>
    </format>
    <format dxfId="95">
      <pivotArea dataOnly="0" labelOnly="1" outline="0" axis="axisValues"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8" type="button" dataOnly="0" labelOnly="1" outline="0" axis="axisRow" fieldPosition="0"/>
    </format>
    <format dxfId="90">
      <pivotArea dataOnly="0" labelOnly="1" outline="0" axis="axisValues" fieldPosition="0"/>
    </format>
    <format dxfId="89">
      <pivotArea dataOnly="0" labelOnly="1" fieldPosition="0">
        <references count="1">
          <reference field="8" count="4">
            <x v="0"/>
            <x v="1"/>
            <x v="2"/>
            <x v="3"/>
          </reference>
        </references>
      </pivotArea>
    </format>
    <format dxfId="88">
      <pivotArea dataOnly="0" labelOnly="1" outline="0" axis="axisValues" fieldPosition="0"/>
    </format>
  </formats>
  <chartFormats count="10">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44:B60" firstHeaderRow="1" firstDataRow="1" firstDataCol="1"/>
  <pivotFields count="13">
    <pivotField showAll="0">
      <items count="5">
        <item h="1" x="2"/>
        <item x="0"/>
        <item h="1" x="3"/>
        <item x="1"/>
        <item t="default"/>
      </items>
    </pivotField>
    <pivotField showAll="0"/>
    <pivotField showAll="0"/>
    <pivotField axis="axisRow" showAll="0" sortType="de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h="1" x="3"/>
        <item t="default"/>
      </items>
    </pivotField>
    <pivotField showAll="0"/>
    <pivotField showAll="0"/>
    <pivotField showAll="0"/>
    <pivotField dataField="1" showAll="0" defaultSubtotal="0"/>
    <pivotField showAll="0"/>
  </pivotFields>
  <rowFields count="1">
    <field x="3"/>
  </rowFields>
  <rowItems count="16">
    <i>
      <x v="6"/>
    </i>
    <i>
      <x v="13"/>
    </i>
    <i>
      <x v="9"/>
    </i>
    <i>
      <x v="5"/>
    </i>
    <i>
      <x v="4"/>
    </i>
    <i>
      <x v="3"/>
    </i>
    <i>
      <x/>
    </i>
    <i>
      <x v="8"/>
    </i>
    <i>
      <x v="10"/>
    </i>
    <i>
      <x v="14"/>
    </i>
    <i>
      <x v="1"/>
    </i>
    <i>
      <x v="7"/>
    </i>
    <i>
      <x v="11"/>
    </i>
    <i>
      <x v="15"/>
    </i>
    <i>
      <x v="2"/>
    </i>
    <i>
      <x v="12"/>
    </i>
  </rowItems>
  <colItems count="1">
    <i/>
  </colItems>
  <dataFields count="1">
    <dataField name="Sum of Total Sales" fld="11" baseField="0" baseItem="1" numFmtId="168"/>
  </dataFields>
  <formats count="21">
    <format dxfId="135">
      <pivotArea type="all" dataOnly="0" outline="0" fieldPosition="0"/>
    </format>
    <format dxfId="134">
      <pivotArea outline="0" collapsedLevelsAreSubtotals="1" fieldPosition="0"/>
    </format>
    <format dxfId="133">
      <pivotArea outline="0" collapsedLevelsAreSubtotals="1" fieldPosition="0"/>
    </format>
    <format dxfId="132">
      <pivotArea type="all" dataOnly="0" outline="0" fieldPosition="0"/>
    </format>
    <format dxfId="131">
      <pivotArea outline="0" collapsedLevelsAreSubtotals="1" fieldPosition="0"/>
    </format>
    <format dxfId="130">
      <pivotArea field="0" type="button" dataOnly="0" labelOnly="1" outline="0"/>
    </format>
    <format dxfId="129">
      <pivotArea dataOnly="0" labelOnly="1" outline="0" axis="axisValues" fieldPosition="0"/>
    </format>
    <format dxfId="128">
      <pivotArea dataOnly="0" labelOnly="1" grandRow="1" outline="0"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type="origin" dataOnly="0" labelOnly="1" outline="0" fieldPosition="0"/>
    </format>
    <format dxfId="123">
      <pivotArea field="0" type="button" dataOnly="0" labelOnly="1" outline="0"/>
    </format>
    <format dxfId="122">
      <pivotArea type="topRight" dataOnly="0" labelOnly="1" outline="0" fieldPosition="0"/>
    </format>
    <format dxfId="121">
      <pivotArea field="6" type="button" dataOnly="0" labelOnly="1" outline="0"/>
    </format>
    <format dxfId="120">
      <pivotArea type="all" dataOnly="0" outline="0" fieldPosition="0"/>
    </format>
    <format dxfId="119">
      <pivotArea outline="0" collapsedLevelsAreSubtotals="1" fieldPosition="0"/>
    </format>
    <format dxfId="118">
      <pivotArea field="3" type="button" dataOnly="0" labelOnly="1" outline="0" axis="axisRow" fieldPosition="0"/>
    </format>
    <format dxfId="117">
      <pivotArea dataOnly="0" labelOnly="1" outline="0" axis="axisValues" fieldPosition="0"/>
    </format>
    <format dxfId="116">
      <pivotArea dataOnly="0" labelOnly="1" fieldPosition="0">
        <references count="1">
          <reference field="3" count="0"/>
        </references>
      </pivotArea>
    </format>
    <format dxfId="115">
      <pivotArea dataOnly="0" labelOnly="1" outline="0" axis="axisValues" fieldPosition="0"/>
    </format>
  </formats>
  <chartFormats count="5">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0">
  <location ref="A82:B85" firstHeaderRow="1" firstDataRow="1" firstDataCol="1"/>
  <pivotFields count="13">
    <pivotField showAll="0">
      <items count="5">
        <item h="1" x="2"/>
        <item x="0"/>
        <item h="1" x="3"/>
        <item x="1"/>
        <item t="default"/>
      </items>
    </pivotField>
    <pivotField showAll="0"/>
    <pivotField showAll="0"/>
    <pivotField showAll="0" sortType="de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axis="axisRow" showAll="0">
      <items count="5">
        <item x="2"/>
        <item x="0"/>
        <item x="1"/>
        <item h="1" x="3"/>
        <item t="default"/>
      </items>
    </pivotField>
    <pivotField showAll="0"/>
    <pivotField showAll="0"/>
    <pivotField showAll="0"/>
    <pivotField dataField="1" showAll="0" defaultSubtotal="0"/>
    <pivotField showAll="0"/>
  </pivotFields>
  <rowFields count="1">
    <field x="7"/>
  </rowFields>
  <rowItems count="3">
    <i>
      <x/>
    </i>
    <i>
      <x v="1"/>
    </i>
    <i>
      <x v="2"/>
    </i>
  </rowItems>
  <colItems count="1">
    <i/>
  </colItems>
  <dataFields count="1">
    <dataField name="Sum of Total Sales" fld="11" baseField="0" baseItem="1" numFmtId="168"/>
  </dataFields>
  <formats count="26">
    <format dxfId="161">
      <pivotArea type="all" dataOnly="0" outline="0" fieldPosition="0"/>
    </format>
    <format dxfId="160">
      <pivotArea outline="0" collapsedLevelsAreSubtotals="1" fieldPosition="0"/>
    </format>
    <format dxfId="159">
      <pivotArea outline="0" collapsedLevelsAreSubtotals="1" fieldPosition="0"/>
    </format>
    <format dxfId="158">
      <pivotArea type="all" dataOnly="0" outline="0" fieldPosition="0"/>
    </format>
    <format dxfId="157">
      <pivotArea outline="0" collapsedLevelsAreSubtotals="1" fieldPosition="0"/>
    </format>
    <format dxfId="156">
      <pivotArea field="0" type="button" dataOnly="0" labelOnly="1" outline="0"/>
    </format>
    <format dxfId="155">
      <pivotArea dataOnly="0" labelOnly="1" outline="0" axis="axisValues" fieldPosition="0"/>
    </format>
    <format dxfId="154">
      <pivotArea dataOnly="0" labelOnly="1" grandRow="1" outline="0"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type="origin" dataOnly="0" labelOnly="1" outline="0" fieldPosition="0"/>
    </format>
    <format dxfId="149">
      <pivotArea field="0" type="button" dataOnly="0" labelOnly="1" outline="0"/>
    </format>
    <format dxfId="148">
      <pivotArea type="topRight" dataOnly="0" labelOnly="1" outline="0" fieldPosition="0"/>
    </format>
    <format dxfId="147">
      <pivotArea field="6" type="button" dataOnly="0" labelOnly="1" outline="0"/>
    </format>
    <format dxfId="146">
      <pivotArea type="all" dataOnly="0" outline="0" fieldPosition="0"/>
    </format>
    <format dxfId="145">
      <pivotArea outline="0" collapsedLevelsAreSubtotals="1" fieldPosition="0"/>
    </format>
    <format dxfId="144">
      <pivotArea field="3" type="button" dataOnly="0" labelOnly="1" outline="0"/>
    </format>
    <format dxfId="143">
      <pivotArea dataOnly="0" labelOnly="1" outline="0" axis="axisValues"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7" type="button" dataOnly="0" labelOnly="1" outline="0" axis="axisRow" fieldPosition="0"/>
    </format>
    <format dxfId="138">
      <pivotArea dataOnly="0" labelOnly="1" outline="0" axis="axisValues" fieldPosition="0"/>
    </format>
    <format dxfId="137">
      <pivotArea dataOnly="0" labelOnly="1" fieldPosition="0">
        <references count="1">
          <reference field="7" count="0"/>
        </references>
      </pivotArea>
    </format>
    <format dxfId="136">
      <pivotArea dataOnly="0" labelOnly="1" outline="0" axis="axisValues" fieldPosition="0"/>
    </format>
  </formats>
  <chartFormats count="11">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7"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A97:B100" firstHeaderRow="1" firstDataRow="1" firstDataCol="1"/>
  <pivotFields count="13">
    <pivotField showAll="0">
      <items count="5">
        <item h="1" x="2"/>
        <item x="0"/>
        <item h="1" x="3"/>
        <item x="1"/>
        <item t="default"/>
      </items>
    </pivotField>
    <pivotField showAll="0"/>
    <pivotField showAll="0"/>
    <pivotField showAll="0" sortType="de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5">
        <item x="0"/>
        <item x="2"/>
        <item x="1"/>
        <item x="3"/>
        <item t="default"/>
      </items>
    </pivotField>
    <pivotField showAll="0">
      <items count="5">
        <item x="2"/>
        <item x="0"/>
        <item x="1"/>
        <item h="1" x="3"/>
        <item t="default"/>
      </items>
    </pivotField>
    <pivotField showAll="0"/>
    <pivotField showAll="0"/>
    <pivotField showAll="0"/>
    <pivotField dataField="1" showAll="0" defaultSubtotal="0"/>
    <pivotField showAll="0"/>
  </pivotFields>
  <rowFields count="1">
    <field x="6"/>
  </rowFields>
  <rowItems count="3">
    <i>
      <x/>
    </i>
    <i>
      <x v="1"/>
    </i>
    <i>
      <x v="2"/>
    </i>
  </rowItems>
  <colItems count="1">
    <i/>
  </colItems>
  <dataFields count="1">
    <dataField name="Sum of Total Sales" fld="11" baseField="0" baseItem="1" numFmtId="168"/>
  </dataFields>
  <formats count="26">
    <format dxfId="187">
      <pivotArea type="all" dataOnly="0" outline="0" fieldPosition="0"/>
    </format>
    <format dxfId="186">
      <pivotArea outline="0" collapsedLevelsAreSubtotals="1" fieldPosition="0"/>
    </format>
    <format dxfId="185">
      <pivotArea outline="0" collapsedLevelsAreSubtotals="1" fieldPosition="0"/>
    </format>
    <format dxfId="184">
      <pivotArea type="all" dataOnly="0" outline="0" fieldPosition="0"/>
    </format>
    <format dxfId="183">
      <pivotArea outline="0" collapsedLevelsAreSubtotals="1" fieldPosition="0"/>
    </format>
    <format dxfId="182">
      <pivotArea field="0" type="button" dataOnly="0" labelOnly="1" outline="0"/>
    </format>
    <format dxfId="181">
      <pivotArea dataOnly="0" labelOnly="1" outline="0" axis="axisValues" fieldPosition="0"/>
    </format>
    <format dxfId="180">
      <pivotArea dataOnly="0" labelOnly="1" grandRow="1" outline="0" fieldPosition="0"/>
    </format>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type="origin" dataOnly="0" labelOnly="1" outline="0" fieldPosition="0"/>
    </format>
    <format dxfId="175">
      <pivotArea field="0" type="button" dataOnly="0" labelOnly="1" outline="0"/>
    </format>
    <format dxfId="174">
      <pivotArea type="topRight" dataOnly="0" labelOnly="1" outline="0" fieldPosition="0"/>
    </format>
    <format dxfId="173">
      <pivotArea field="6" type="button" dataOnly="0" labelOnly="1" outline="0" axis="axisRow" fieldPosition="0"/>
    </format>
    <format dxfId="172">
      <pivotArea type="all" dataOnly="0" outline="0" fieldPosition="0"/>
    </format>
    <format dxfId="171">
      <pivotArea outline="0" collapsedLevelsAreSubtotals="1" fieldPosition="0"/>
    </format>
    <format dxfId="170">
      <pivotArea field="3" type="button" dataOnly="0" labelOnly="1" outline="0"/>
    </format>
    <format dxfId="169">
      <pivotArea dataOnly="0" labelOnly="1" outline="0" axis="axisValues"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6" type="button" dataOnly="0" labelOnly="1" outline="0" axis="axisRow" fieldPosition="0"/>
    </format>
    <format dxfId="164">
      <pivotArea dataOnly="0" labelOnly="1" outline="0" axis="axisValues" fieldPosition="0"/>
    </format>
    <format dxfId="163">
      <pivotArea dataOnly="0" labelOnly="1" fieldPosition="0">
        <references count="1">
          <reference field="6" count="3">
            <x v="0"/>
            <x v="1"/>
            <x v="2"/>
          </reference>
        </references>
      </pivotArea>
    </format>
    <format dxfId="162">
      <pivotArea dataOnly="0" labelOnly="1" outline="0" axis="axisValues" fieldPosition="0"/>
    </format>
  </formats>
  <chartFormats count="8">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A65:B74" firstHeaderRow="1" firstDataRow="1" firstDataCol="1"/>
  <pivotFields count="13">
    <pivotField showAll="0">
      <items count="5">
        <item h="1" x="2"/>
        <item x="0"/>
        <item h="1" x="3"/>
        <item x="1"/>
        <item t="default"/>
      </items>
    </pivotField>
    <pivotField showAll="0"/>
    <pivotField showAll="0"/>
    <pivotField showAll="0" sortType="de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axis="axisRow" showAll="0">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h="1" x="3"/>
        <item t="default"/>
      </items>
    </pivotField>
    <pivotField showAll="0"/>
    <pivotField showAll="0"/>
    <pivotField showAll="0"/>
    <pivotField dataField="1" showAll="0" defaultSubtotal="0"/>
    <pivotField showAll="0"/>
  </pivotFields>
  <rowFields count="1">
    <field x="4"/>
  </rowFields>
  <rowItems count="9">
    <i>
      <x/>
    </i>
    <i>
      <x v="1"/>
    </i>
    <i>
      <x v="2"/>
    </i>
    <i>
      <x v="3"/>
    </i>
    <i>
      <x v="4"/>
    </i>
    <i>
      <x v="5"/>
    </i>
    <i>
      <x v="6"/>
    </i>
    <i>
      <x v="7"/>
    </i>
    <i>
      <x v="8"/>
    </i>
  </rowItems>
  <colItems count="1">
    <i/>
  </colItems>
  <dataFields count="1">
    <dataField name="Sum of Total Sales" fld="11" baseField="0" baseItem="1" numFmtId="168"/>
  </dataFields>
  <formats count="26">
    <format dxfId="213">
      <pivotArea type="all" dataOnly="0" outline="0" fieldPosition="0"/>
    </format>
    <format dxfId="212">
      <pivotArea outline="0" collapsedLevelsAreSubtotals="1" fieldPosition="0"/>
    </format>
    <format dxfId="211">
      <pivotArea outline="0" collapsedLevelsAreSubtotals="1" fieldPosition="0"/>
    </format>
    <format dxfId="210">
      <pivotArea type="all" dataOnly="0" outline="0" fieldPosition="0"/>
    </format>
    <format dxfId="209">
      <pivotArea outline="0" collapsedLevelsAreSubtotals="1" fieldPosition="0"/>
    </format>
    <format dxfId="208">
      <pivotArea field="0" type="button" dataOnly="0" labelOnly="1" outline="0"/>
    </format>
    <format dxfId="207">
      <pivotArea dataOnly="0" labelOnly="1" outline="0" axis="axisValues" fieldPosition="0"/>
    </format>
    <format dxfId="206">
      <pivotArea dataOnly="0" labelOnly="1" grandRow="1" outline="0" fieldPosition="0"/>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type="origin" dataOnly="0" labelOnly="1" outline="0" fieldPosition="0"/>
    </format>
    <format dxfId="201">
      <pivotArea field="0" type="button" dataOnly="0" labelOnly="1" outline="0"/>
    </format>
    <format dxfId="200">
      <pivotArea type="topRight" dataOnly="0" labelOnly="1" outline="0" fieldPosition="0"/>
    </format>
    <format dxfId="199">
      <pivotArea field="6" type="button" dataOnly="0" labelOnly="1" outline="0"/>
    </format>
    <format dxfId="198">
      <pivotArea type="all" dataOnly="0" outline="0" fieldPosition="0"/>
    </format>
    <format dxfId="197">
      <pivotArea outline="0" collapsedLevelsAreSubtotals="1" fieldPosition="0"/>
    </format>
    <format dxfId="196">
      <pivotArea field="3" type="button" dataOnly="0" labelOnly="1" outline="0"/>
    </format>
    <format dxfId="195">
      <pivotArea dataOnly="0" labelOnly="1" outline="0" axis="axisValues"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4" type="button" dataOnly="0" labelOnly="1" outline="0" axis="axisRow" fieldPosition="0"/>
    </format>
    <format dxfId="190">
      <pivotArea dataOnly="0" labelOnly="1" outline="0" axis="axisValues" fieldPosition="0"/>
    </format>
    <format dxfId="189">
      <pivotArea dataOnly="0" labelOnly="1" fieldPosition="0">
        <references count="1">
          <reference field="4" count="0"/>
        </references>
      </pivotArea>
    </format>
    <format dxfId="188">
      <pivotArea dataOnly="0" labelOnly="1" outline="0" axis="axisValues" fieldPosition="0"/>
    </format>
  </formats>
  <chartFormats count="7">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1" sourceName="Outlet Size">
  <pivotTables>
    <pivotTable tabId="8" name="PivotTable3"/>
    <pivotTable tabId="8" name="PivotTable5"/>
    <pivotTable tabId="8" name="PivotTable1"/>
    <pivotTable tabId="8" name="PivotTable2"/>
    <pivotTable tabId="8" name="PivotTable6"/>
    <pivotTable tabId="8" name="PivotTable7"/>
    <pivotTable tabId="8" name="PivotTable8"/>
    <pivotTable tabId="8" name="PivotTable9"/>
    <pivotTable tabId="8" name="PivotTable4"/>
    <pivotTable tabId="8" name="PivotTable10"/>
  </pivotTables>
  <data>
    <tabular pivotCacheId="1">
      <items count="4">
        <i x="2" s="1"/>
        <i x="0" s="1"/>
        <i x="1" s="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8" name="PivotTable2"/>
  </pivotTables>
  <data>
    <tabular pivotCacheId="1">
      <items count="17">
        <i x="13" s="1"/>
        <i x="8" s="1"/>
        <i x="12" s="1"/>
        <i x="3" s="1"/>
        <i x="11" s="1"/>
        <i x="2" s="1"/>
        <i x="0" s="1"/>
        <i x="9" s="1"/>
        <i x="1" s="1"/>
        <i x="5" s="1"/>
        <i x="7" s="1"/>
        <i x="10" s="1"/>
        <i x="14" s="1"/>
        <i x="6" s="1"/>
        <i x="4" s="1"/>
        <i x="15" s="1"/>
        <i x="1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8" name="PivotTable1"/>
  </pivotTables>
  <data>
    <tabular pivotCacheId="1">
      <items count="4">
        <i x="0" s="1"/>
        <i x="2"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1" cache="Slicer_Outlet_Size1" caption="Outlet Size" rowHeight="260350"/>
  <slicer name="Item Type" cache="Slicer_Item_Type" caption="Item Type" rowHeight="260350"/>
  <slicer name="Outlet Location Type" cache="Slicer_Outlet_Location_Type" caption="Outlet Location Type" startItem="1"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2" cache="Slicer_Outlet_Size1" caption="Outlet Size" style="SlicerStyleLight2" rowHeight="260350"/>
  <slicer name="Item Type 1" cache="Slicer_Item_Type" caption="Item Type" style="SlicerStyleLight2" rowHeight="260350"/>
  <slicer name="Outlet Location Type 1" cache="Slicer_Outlet_Location_Type" caption="Outlet Location Type" style="SlicerStyleLight2" rowHeight="260350"/>
</slicers>
</file>

<file path=xl/tables/table1.xml><?xml version="1.0" encoding="utf-8"?>
<table xmlns="http://schemas.openxmlformats.org/spreadsheetml/2006/main" id="1" name="Table1" displayName="Table1" ref="A1:M9223" totalsRowShown="0">
  <autoFilter ref="A1:M9223">
    <filterColumn colId="10">
      <customFilters>
        <customFilter operator="notEqual" val=" "/>
      </customFilters>
    </filterColumn>
  </autoFilter>
  <tableColumns count="13">
    <tableColumn id="1" name="Item Fat Content"/>
    <tableColumn id="13" name="Sr. no "/>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Total 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223"/>
  <sheetViews>
    <sheetView topLeftCell="A6" workbookViewId="0">
      <selection activeCell="C37" sqref="C37:C40"/>
    </sheetView>
  </sheetViews>
  <sheetFormatPr defaultRowHeight="15.6" x14ac:dyDescent="0.3"/>
  <cols>
    <col min="1" max="1" width="17.09765625" customWidth="1"/>
    <col min="2" max="2" width="8.19921875" bestFit="1" customWidth="1"/>
    <col min="3" max="3" width="15" customWidth="1"/>
    <col min="4" max="4" width="18.69921875" bestFit="1" customWidth="1"/>
    <col min="5" max="5" width="25.19921875" bestFit="1"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1608</v>
      </c>
      <c r="F1" t="s">
        <v>3</v>
      </c>
      <c r="G1" t="s">
        <v>4</v>
      </c>
      <c r="H1" t="s">
        <v>5</v>
      </c>
      <c r="I1" t="s">
        <v>6</v>
      </c>
      <c r="J1" t="s">
        <v>7</v>
      </c>
      <c r="K1" t="s">
        <v>8</v>
      </c>
      <c r="L1" t="s">
        <v>1612</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hidden="1" x14ac:dyDescent="0.3">
      <c r="A11" t="s">
        <v>17</v>
      </c>
      <c r="B11">
        <v>10</v>
      </c>
      <c r="C11" t="s">
        <v>44</v>
      </c>
      <c r="D11" t="s">
        <v>28</v>
      </c>
      <c r="E11">
        <v>2018</v>
      </c>
      <c r="F11" t="s">
        <v>45</v>
      </c>
      <c r="G11" t="s">
        <v>21</v>
      </c>
      <c r="H11" t="s">
        <v>15</v>
      </c>
      <c r="I11" t="s">
        <v>46</v>
      </c>
      <c r="J11">
        <v>0.101561568</v>
      </c>
      <c r="L11">
        <v>181.92920000000001</v>
      </c>
      <c r="M11">
        <v>5</v>
      </c>
    </row>
    <row r="12" spans="1:13" hidden="1"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hidden="1"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hidden="1"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hidden="1" x14ac:dyDescent="0.3">
      <c r="A22" t="s">
        <v>10</v>
      </c>
      <c r="B22">
        <v>21</v>
      </c>
      <c r="C22" t="s">
        <v>62</v>
      </c>
      <c r="D22" t="s">
        <v>12</v>
      </c>
      <c r="E22">
        <v>2018</v>
      </c>
      <c r="F22" t="s">
        <v>45</v>
      </c>
      <c r="G22" t="s">
        <v>21</v>
      </c>
      <c r="H22" t="s">
        <v>15</v>
      </c>
      <c r="I22" t="s">
        <v>46</v>
      </c>
      <c r="J22">
        <v>0</v>
      </c>
      <c r="L22">
        <v>60.2194</v>
      </c>
      <c r="M22">
        <v>5</v>
      </c>
    </row>
    <row r="23" spans="1:13" hidden="1"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hidden="1"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hidden="1"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hidden="1" x14ac:dyDescent="0.3">
      <c r="A93" t="s">
        <v>17</v>
      </c>
      <c r="B93">
        <v>92</v>
      </c>
      <c r="C93" t="s">
        <v>137</v>
      </c>
      <c r="D93" t="s">
        <v>64</v>
      </c>
      <c r="E93">
        <v>2018</v>
      </c>
      <c r="F93" t="s">
        <v>138</v>
      </c>
      <c r="G93" t="s">
        <v>14</v>
      </c>
      <c r="H93" t="s">
        <v>26</v>
      </c>
      <c r="I93" t="s">
        <v>40</v>
      </c>
      <c r="J93">
        <v>2.3402893000000001E-2</v>
      </c>
      <c r="L93">
        <v>108.22799999999999</v>
      </c>
      <c r="M93">
        <v>5</v>
      </c>
    </row>
    <row r="94" spans="1:13" hidden="1" x14ac:dyDescent="0.3">
      <c r="A94" t="s">
        <v>17</v>
      </c>
      <c r="B94">
        <v>93</v>
      </c>
      <c r="C94" t="s">
        <v>139</v>
      </c>
      <c r="D94" t="s">
        <v>28</v>
      </c>
      <c r="E94">
        <v>2018</v>
      </c>
      <c r="F94" t="s">
        <v>138</v>
      </c>
      <c r="G94" t="s">
        <v>14</v>
      </c>
      <c r="H94" t="s">
        <v>26</v>
      </c>
      <c r="I94" t="s">
        <v>40</v>
      </c>
      <c r="J94">
        <v>0.196490902</v>
      </c>
      <c r="L94">
        <v>120.544</v>
      </c>
      <c r="M94">
        <v>5</v>
      </c>
    </row>
    <row r="95" spans="1:13" hidden="1" x14ac:dyDescent="0.3">
      <c r="A95" t="s">
        <v>17</v>
      </c>
      <c r="B95">
        <v>94</v>
      </c>
      <c r="C95" t="s">
        <v>140</v>
      </c>
      <c r="D95" t="s">
        <v>67</v>
      </c>
      <c r="E95">
        <v>2018</v>
      </c>
      <c r="F95" t="s">
        <v>138</v>
      </c>
      <c r="G95" t="s">
        <v>14</v>
      </c>
      <c r="H95" t="s">
        <v>26</v>
      </c>
      <c r="I95" t="s">
        <v>40</v>
      </c>
      <c r="J95">
        <v>0.24749009</v>
      </c>
      <c r="L95">
        <v>263.1884</v>
      </c>
      <c r="M95">
        <v>5</v>
      </c>
    </row>
    <row r="96" spans="1:13" hidden="1" x14ac:dyDescent="0.3">
      <c r="A96" t="s">
        <v>17</v>
      </c>
      <c r="B96">
        <v>95</v>
      </c>
      <c r="C96" t="s">
        <v>141</v>
      </c>
      <c r="D96" t="s">
        <v>12</v>
      </c>
      <c r="E96">
        <v>2018</v>
      </c>
      <c r="F96" t="s">
        <v>138</v>
      </c>
      <c r="G96" t="s">
        <v>14</v>
      </c>
      <c r="H96" t="s">
        <v>26</v>
      </c>
      <c r="I96" t="s">
        <v>40</v>
      </c>
      <c r="J96">
        <v>3.7824734999999998E-2</v>
      </c>
      <c r="L96">
        <v>109.72280000000001</v>
      </c>
      <c r="M96">
        <v>5</v>
      </c>
    </row>
    <row r="97" spans="1:13" hidden="1" x14ac:dyDescent="0.3">
      <c r="A97" t="s">
        <v>17</v>
      </c>
      <c r="B97">
        <v>96</v>
      </c>
      <c r="C97" t="s">
        <v>142</v>
      </c>
      <c r="D97" t="s">
        <v>12</v>
      </c>
      <c r="E97">
        <v>2018</v>
      </c>
      <c r="F97" t="s">
        <v>138</v>
      </c>
      <c r="G97" t="s">
        <v>14</v>
      </c>
      <c r="H97" t="s">
        <v>26</v>
      </c>
      <c r="I97" t="s">
        <v>40</v>
      </c>
      <c r="J97">
        <v>0.14210799800000001</v>
      </c>
      <c r="L97">
        <v>150.3734</v>
      </c>
      <c r="M97">
        <v>5</v>
      </c>
    </row>
    <row r="98" spans="1:13" hidden="1" x14ac:dyDescent="0.3">
      <c r="A98" t="s">
        <v>17</v>
      </c>
      <c r="B98">
        <v>97</v>
      </c>
      <c r="C98" t="s">
        <v>143</v>
      </c>
      <c r="D98" t="s">
        <v>12</v>
      </c>
      <c r="E98">
        <v>2018</v>
      </c>
      <c r="F98" t="s">
        <v>138</v>
      </c>
      <c r="G98" t="s">
        <v>14</v>
      </c>
      <c r="H98" t="s">
        <v>26</v>
      </c>
      <c r="I98" t="s">
        <v>40</v>
      </c>
      <c r="J98">
        <v>4.5062129999999999E-2</v>
      </c>
      <c r="L98">
        <v>167.54740000000001</v>
      </c>
      <c r="M98">
        <v>5</v>
      </c>
    </row>
    <row r="99" spans="1:13" hidden="1" x14ac:dyDescent="0.3">
      <c r="A99" t="s">
        <v>17</v>
      </c>
      <c r="B99">
        <v>98</v>
      </c>
      <c r="C99" t="s">
        <v>144</v>
      </c>
      <c r="D99" t="s">
        <v>19</v>
      </c>
      <c r="E99">
        <v>2018</v>
      </c>
      <c r="F99" t="s">
        <v>138</v>
      </c>
      <c r="G99" t="s">
        <v>14</v>
      </c>
      <c r="H99" t="s">
        <v>26</v>
      </c>
      <c r="I99" t="s">
        <v>40</v>
      </c>
      <c r="J99">
        <v>4.4000492000000002E-2</v>
      </c>
      <c r="L99">
        <v>148.27340000000001</v>
      </c>
      <c r="M99">
        <v>5</v>
      </c>
    </row>
    <row r="100" spans="1:13" hidden="1" x14ac:dyDescent="0.3">
      <c r="A100" t="s">
        <v>17</v>
      </c>
      <c r="B100">
        <v>99</v>
      </c>
      <c r="C100" t="s">
        <v>145</v>
      </c>
      <c r="D100" t="s">
        <v>19</v>
      </c>
      <c r="E100">
        <v>2018</v>
      </c>
      <c r="F100" t="s">
        <v>138</v>
      </c>
      <c r="G100" t="s">
        <v>14</v>
      </c>
      <c r="H100" t="s">
        <v>26</v>
      </c>
      <c r="I100" t="s">
        <v>40</v>
      </c>
      <c r="J100">
        <v>0</v>
      </c>
      <c r="L100">
        <v>123.473</v>
      </c>
      <c r="M100">
        <v>5</v>
      </c>
    </row>
    <row r="101" spans="1:13" hidden="1" x14ac:dyDescent="0.3">
      <c r="A101" t="s">
        <v>17</v>
      </c>
      <c r="B101">
        <v>100</v>
      </c>
      <c r="C101" t="s">
        <v>146</v>
      </c>
      <c r="D101" t="s">
        <v>19</v>
      </c>
      <c r="E101">
        <v>2018</v>
      </c>
      <c r="F101" t="s">
        <v>138</v>
      </c>
      <c r="G101" t="s">
        <v>14</v>
      </c>
      <c r="H101" t="s">
        <v>26</v>
      </c>
      <c r="I101" t="s">
        <v>40</v>
      </c>
      <c r="J101">
        <v>4.4607722000000002E-2</v>
      </c>
      <c r="L101">
        <v>145.976</v>
      </c>
      <c r="M101">
        <v>5</v>
      </c>
    </row>
    <row r="102" spans="1:13" hidden="1" x14ac:dyDescent="0.3">
      <c r="A102" t="s">
        <v>17</v>
      </c>
      <c r="B102">
        <v>101</v>
      </c>
      <c r="C102" t="s">
        <v>147</v>
      </c>
      <c r="D102" t="s">
        <v>19</v>
      </c>
      <c r="E102">
        <v>2018</v>
      </c>
      <c r="F102" t="s">
        <v>138</v>
      </c>
      <c r="G102" t="s">
        <v>14</v>
      </c>
      <c r="H102" t="s">
        <v>26</v>
      </c>
      <c r="I102" t="s">
        <v>40</v>
      </c>
      <c r="J102">
        <v>3.1024168000000001E-2</v>
      </c>
      <c r="L102">
        <v>210.52440000000001</v>
      </c>
      <c r="M102">
        <v>5</v>
      </c>
    </row>
    <row r="103" spans="1:13" hidden="1" x14ac:dyDescent="0.3">
      <c r="A103" t="s">
        <v>17</v>
      </c>
      <c r="B103">
        <v>102</v>
      </c>
      <c r="C103" t="s">
        <v>148</v>
      </c>
      <c r="D103" t="s">
        <v>42</v>
      </c>
      <c r="E103">
        <v>2018</v>
      </c>
      <c r="F103" t="s">
        <v>138</v>
      </c>
      <c r="G103" t="s">
        <v>14</v>
      </c>
      <c r="H103" t="s">
        <v>26</v>
      </c>
      <c r="I103" t="s">
        <v>40</v>
      </c>
      <c r="J103">
        <v>9.1924310999999995E-2</v>
      </c>
      <c r="L103">
        <v>189.75299999999999</v>
      </c>
      <c r="M103">
        <v>5</v>
      </c>
    </row>
    <row r="104" spans="1:13" hidden="1" x14ac:dyDescent="0.3">
      <c r="A104" t="s">
        <v>17</v>
      </c>
      <c r="B104">
        <v>103</v>
      </c>
      <c r="C104" t="s">
        <v>149</v>
      </c>
      <c r="D104" t="s">
        <v>42</v>
      </c>
      <c r="E104">
        <v>2018</v>
      </c>
      <c r="F104" t="s">
        <v>138</v>
      </c>
      <c r="G104" t="s">
        <v>14</v>
      </c>
      <c r="H104" t="s">
        <v>26</v>
      </c>
      <c r="I104" t="s">
        <v>40</v>
      </c>
      <c r="J104">
        <v>0.10318849099999999</v>
      </c>
      <c r="L104">
        <v>244.346</v>
      </c>
      <c r="M104">
        <v>5</v>
      </c>
    </row>
    <row r="105" spans="1:13" hidden="1" x14ac:dyDescent="0.3">
      <c r="A105" t="s">
        <v>17</v>
      </c>
      <c r="B105">
        <v>104</v>
      </c>
      <c r="C105" t="s">
        <v>52</v>
      </c>
      <c r="D105" t="s">
        <v>42</v>
      </c>
      <c r="E105">
        <v>2018</v>
      </c>
      <c r="F105" t="s">
        <v>138</v>
      </c>
      <c r="G105" t="s">
        <v>14</v>
      </c>
      <c r="H105" t="s">
        <v>26</v>
      </c>
      <c r="I105" t="s">
        <v>40</v>
      </c>
      <c r="J105">
        <v>0.158562708</v>
      </c>
      <c r="L105">
        <v>194.71100000000001</v>
      </c>
      <c r="M105">
        <v>5</v>
      </c>
    </row>
    <row r="106" spans="1:13" hidden="1" x14ac:dyDescent="0.3">
      <c r="A106" t="s">
        <v>17</v>
      </c>
      <c r="B106">
        <v>105</v>
      </c>
      <c r="C106" t="s">
        <v>150</v>
      </c>
      <c r="D106" t="s">
        <v>42</v>
      </c>
      <c r="E106">
        <v>2018</v>
      </c>
      <c r="F106" t="s">
        <v>138</v>
      </c>
      <c r="G106" t="s">
        <v>14</v>
      </c>
      <c r="H106" t="s">
        <v>26</v>
      </c>
      <c r="I106" t="s">
        <v>40</v>
      </c>
      <c r="J106">
        <v>6.7824456000000005E-2</v>
      </c>
      <c r="L106">
        <v>167.7842</v>
      </c>
      <c r="M106">
        <v>5</v>
      </c>
    </row>
    <row r="107" spans="1:13" hidden="1" x14ac:dyDescent="0.3">
      <c r="A107" t="s">
        <v>17</v>
      </c>
      <c r="B107">
        <v>106</v>
      </c>
      <c r="C107" t="s">
        <v>151</v>
      </c>
      <c r="D107" t="s">
        <v>54</v>
      </c>
      <c r="E107">
        <v>2018</v>
      </c>
      <c r="F107" t="s">
        <v>138</v>
      </c>
      <c r="G107" t="s">
        <v>14</v>
      </c>
      <c r="H107" t="s">
        <v>26</v>
      </c>
      <c r="I107" t="s">
        <v>40</v>
      </c>
      <c r="J107">
        <v>2.9299175E-2</v>
      </c>
      <c r="L107">
        <v>140.31800000000001</v>
      </c>
      <c r="M107">
        <v>5</v>
      </c>
    </row>
    <row r="108" spans="1:13" hidden="1" x14ac:dyDescent="0.3">
      <c r="A108" t="s">
        <v>17</v>
      </c>
      <c r="B108">
        <v>107</v>
      </c>
      <c r="C108" t="s">
        <v>152</v>
      </c>
      <c r="D108" t="s">
        <v>153</v>
      </c>
      <c r="E108">
        <v>2018</v>
      </c>
      <c r="F108" t="s">
        <v>138</v>
      </c>
      <c r="G108" t="s">
        <v>14</v>
      </c>
      <c r="H108" t="s">
        <v>26</v>
      </c>
      <c r="I108" t="s">
        <v>40</v>
      </c>
      <c r="J108">
        <v>0.12853255799999999</v>
      </c>
      <c r="L108">
        <v>34.221600000000002</v>
      </c>
      <c r="M108">
        <v>5</v>
      </c>
    </row>
    <row r="109" spans="1:13" hidden="1" x14ac:dyDescent="0.3">
      <c r="A109" t="s">
        <v>10</v>
      </c>
      <c r="B109">
        <v>108</v>
      </c>
      <c r="C109" t="s">
        <v>154</v>
      </c>
      <c r="D109" t="s">
        <v>74</v>
      </c>
      <c r="E109">
        <v>2018</v>
      </c>
      <c r="F109" t="s">
        <v>138</v>
      </c>
      <c r="G109" t="s">
        <v>14</v>
      </c>
      <c r="H109" t="s">
        <v>26</v>
      </c>
      <c r="I109" t="s">
        <v>40</v>
      </c>
      <c r="J109">
        <v>9.8606543000000005E-2</v>
      </c>
      <c r="L109">
        <v>232.73</v>
      </c>
      <c r="M109">
        <v>5</v>
      </c>
    </row>
    <row r="110" spans="1:13" hidden="1" x14ac:dyDescent="0.3">
      <c r="A110" t="s">
        <v>10</v>
      </c>
      <c r="B110">
        <v>109</v>
      </c>
      <c r="C110" t="s">
        <v>155</v>
      </c>
      <c r="D110" t="s">
        <v>28</v>
      </c>
      <c r="E110">
        <v>2018</v>
      </c>
      <c r="F110" t="s">
        <v>138</v>
      </c>
      <c r="G110" t="s">
        <v>14</v>
      </c>
      <c r="H110" t="s">
        <v>26</v>
      </c>
      <c r="I110" t="s">
        <v>40</v>
      </c>
      <c r="J110">
        <v>0.18223655499999999</v>
      </c>
      <c r="L110">
        <v>107.1622</v>
      </c>
      <c r="M110">
        <v>5</v>
      </c>
    </row>
    <row r="111" spans="1:13" hidden="1" x14ac:dyDescent="0.3">
      <c r="A111" t="s">
        <v>10</v>
      </c>
      <c r="B111">
        <v>110</v>
      </c>
      <c r="C111" t="s">
        <v>156</v>
      </c>
      <c r="D111" t="s">
        <v>12</v>
      </c>
      <c r="E111">
        <v>2018</v>
      </c>
      <c r="F111" t="s">
        <v>138</v>
      </c>
      <c r="G111" t="s">
        <v>14</v>
      </c>
      <c r="H111" t="s">
        <v>26</v>
      </c>
      <c r="I111" t="s">
        <v>40</v>
      </c>
      <c r="J111">
        <v>0.20916293599999999</v>
      </c>
      <c r="L111">
        <v>179.19759999999999</v>
      </c>
      <c r="M111">
        <v>5</v>
      </c>
    </row>
    <row r="112" spans="1:13" hidden="1" x14ac:dyDescent="0.3">
      <c r="A112" t="s">
        <v>10</v>
      </c>
      <c r="B112">
        <v>111</v>
      </c>
      <c r="C112" t="s">
        <v>157</v>
      </c>
      <c r="D112" t="s">
        <v>54</v>
      </c>
      <c r="E112">
        <v>2018</v>
      </c>
      <c r="F112" t="s">
        <v>138</v>
      </c>
      <c r="G112" t="s">
        <v>14</v>
      </c>
      <c r="H112" t="s">
        <v>26</v>
      </c>
      <c r="I112" t="s">
        <v>40</v>
      </c>
      <c r="J112">
        <v>7.7480626999999996E-2</v>
      </c>
      <c r="L112">
        <v>101.399</v>
      </c>
      <c r="M112">
        <v>5</v>
      </c>
    </row>
    <row r="113" spans="1:13" hidden="1" x14ac:dyDescent="0.3">
      <c r="A113" t="s">
        <v>10</v>
      </c>
      <c r="B113">
        <v>112</v>
      </c>
      <c r="C113" t="s">
        <v>158</v>
      </c>
      <c r="D113" t="s">
        <v>159</v>
      </c>
      <c r="E113">
        <v>2018</v>
      </c>
      <c r="F113" t="s">
        <v>138</v>
      </c>
      <c r="G113" t="s">
        <v>14</v>
      </c>
      <c r="H113" t="s">
        <v>26</v>
      </c>
      <c r="I113" t="s">
        <v>40</v>
      </c>
      <c r="J113">
        <v>1.2327846999999999E-2</v>
      </c>
      <c r="L113">
        <v>173.87379999999999</v>
      </c>
      <c r="M113">
        <v>5</v>
      </c>
    </row>
    <row r="114" spans="1:13" hidden="1" x14ac:dyDescent="0.3">
      <c r="A114" t="s">
        <v>10</v>
      </c>
      <c r="B114">
        <v>113</v>
      </c>
      <c r="C114" t="s">
        <v>160</v>
      </c>
      <c r="D114" t="s">
        <v>28</v>
      </c>
      <c r="E114">
        <v>2018</v>
      </c>
      <c r="F114" t="s">
        <v>138</v>
      </c>
      <c r="G114" t="s">
        <v>14</v>
      </c>
      <c r="H114" t="s">
        <v>26</v>
      </c>
      <c r="I114" t="s">
        <v>40</v>
      </c>
      <c r="J114">
        <v>1.4342659000000001E-2</v>
      </c>
      <c r="L114">
        <v>103.76739999999999</v>
      </c>
      <c r="M114">
        <v>5</v>
      </c>
    </row>
    <row r="115" spans="1:13" hidden="1"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hidden="1" x14ac:dyDescent="0.3">
      <c r="A395" t="s">
        <v>17</v>
      </c>
      <c r="B395">
        <v>394</v>
      </c>
      <c r="C395" t="s">
        <v>201</v>
      </c>
      <c r="D395" t="s">
        <v>28</v>
      </c>
      <c r="E395">
        <v>2018</v>
      </c>
      <c r="F395" t="s">
        <v>45</v>
      </c>
      <c r="G395" t="s">
        <v>21</v>
      </c>
      <c r="H395" t="s">
        <v>15</v>
      </c>
      <c r="I395" t="s">
        <v>46</v>
      </c>
      <c r="J395">
        <v>8.9243504000000001E-2</v>
      </c>
      <c r="L395">
        <v>139.24959999999999</v>
      </c>
      <c r="M395">
        <v>5</v>
      </c>
    </row>
    <row r="396" spans="1:13" hidden="1" x14ac:dyDescent="0.3">
      <c r="A396" t="s">
        <v>17</v>
      </c>
      <c r="B396">
        <v>395</v>
      </c>
      <c r="C396" t="s">
        <v>404</v>
      </c>
      <c r="D396" t="s">
        <v>28</v>
      </c>
      <c r="E396">
        <v>2018</v>
      </c>
      <c r="F396" t="s">
        <v>45</v>
      </c>
      <c r="G396" t="s">
        <v>21</v>
      </c>
      <c r="H396" t="s">
        <v>15</v>
      </c>
      <c r="I396" t="s">
        <v>46</v>
      </c>
      <c r="J396">
        <v>2.6552056000000001E-2</v>
      </c>
      <c r="L396">
        <v>56.224600000000002</v>
      </c>
      <c r="M396">
        <v>5</v>
      </c>
    </row>
    <row r="397" spans="1:13" hidden="1" x14ac:dyDescent="0.3">
      <c r="A397" t="s">
        <v>17</v>
      </c>
      <c r="B397">
        <v>396</v>
      </c>
      <c r="C397" t="s">
        <v>405</v>
      </c>
      <c r="D397" t="s">
        <v>24</v>
      </c>
      <c r="E397">
        <v>2018</v>
      </c>
      <c r="F397" t="s">
        <v>45</v>
      </c>
      <c r="G397" t="s">
        <v>21</v>
      </c>
      <c r="H397" t="s">
        <v>15</v>
      </c>
      <c r="I397" t="s">
        <v>46</v>
      </c>
      <c r="J397">
        <v>8.7929070000000008E-3</v>
      </c>
      <c r="L397">
        <v>96.738399999999999</v>
      </c>
      <c r="M397">
        <v>5</v>
      </c>
    </row>
    <row r="398" spans="1:13" hidden="1" x14ac:dyDescent="0.3">
      <c r="A398" t="s">
        <v>17</v>
      </c>
      <c r="B398">
        <v>397</v>
      </c>
      <c r="C398" t="s">
        <v>406</v>
      </c>
      <c r="D398" t="s">
        <v>24</v>
      </c>
      <c r="E398">
        <v>2018</v>
      </c>
      <c r="F398" t="s">
        <v>45</v>
      </c>
      <c r="G398" t="s">
        <v>21</v>
      </c>
      <c r="H398" t="s">
        <v>15</v>
      </c>
      <c r="I398" t="s">
        <v>46</v>
      </c>
      <c r="J398">
        <v>5.3038775000000003E-2</v>
      </c>
      <c r="L398">
        <v>59.590400000000002</v>
      </c>
      <c r="M398">
        <v>5</v>
      </c>
    </row>
    <row r="399" spans="1:13" hidden="1" x14ac:dyDescent="0.3">
      <c r="A399" t="s">
        <v>17</v>
      </c>
      <c r="B399">
        <v>398</v>
      </c>
      <c r="C399" t="s">
        <v>407</v>
      </c>
      <c r="D399" t="s">
        <v>24</v>
      </c>
      <c r="E399">
        <v>2018</v>
      </c>
      <c r="F399" t="s">
        <v>45</v>
      </c>
      <c r="G399" t="s">
        <v>21</v>
      </c>
      <c r="H399" t="s">
        <v>15</v>
      </c>
      <c r="I399" t="s">
        <v>46</v>
      </c>
      <c r="J399">
        <v>3.2470107999999998E-2</v>
      </c>
      <c r="L399">
        <v>148.9392</v>
      </c>
      <c r="M399">
        <v>5</v>
      </c>
    </row>
    <row r="400" spans="1:13" hidden="1" x14ac:dyDescent="0.3">
      <c r="A400" t="s">
        <v>17</v>
      </c>
      <c r="B400">
        <v>399</v>
      </c>
      <c r="C400" t="s">
        <v>408</v>
      </c>
      <c r="D400" t="s">
        <v>24</v>
      </c>
      <c r="E400">
        <v>2018</v>
      </c>
      <c r="F400" t="s">
        <v>45</v>
      </c>
      <c r="G400" t="s">
        <v>21</v>
      </c>
      <c r="H400" t="s">
        <v>15</v>
      </c>
      <c r="I400" t="s">
        <v>46</v>
      </c>
      <c r="J400">
        <v>9.5331432999999993E-2</v>
      </c>
      <c r="L400">
        <v>125.56780000000001</v>
      </c>
      <c r="M400">
        <v>5</v>
      </c>
    </row>
    <row r="401" spans="1:13" hidden="1" x14ac:dyDescent="0.3">
      <c r="A401" t="s">
        <v>17</v>
      </c>
      <c r="B401">
        <v>400</v>
      </c>
      <c r="C401" t="s">
        <v>409</v>
      </c>
      <c r="D401" t="s">
        <v>12</v>
      </c>
      <c r="E401">
        <v>2018</v>
      </c>
      <c r="F401" t="s">
        <v>45</v>
      </c>
      <c r="G401" t="s">
        <v>21</v>
      </c>
      <c r="H401" t="s">
        <v>15</v>
      </c>
      <c r="I401" t="s">
        <v>46</v>
      </c>
      <c r="J401">
        <v>0</v>
      </c>
      <c r="L401">
        <v>231.96420000000001</v>
      </c>
      <c r="M401">
        <v>5</v>
      </c>
    </row>
    <row r="402" spans="1:13" hidden="1" x14ac:dyDescent="0.3">
      <c r="A402" t="s">
        <v>17</v>
      </c>
      <c r="B402">
        <v>401</v>
      </c>
      <c r="C402" t="s">
        <v>43</v>
      </c>
      <c r="D402" t="s">
        <v>12</v>
      </c>
      <c r="E402">
        <v>2018</v>
      </c>
      <c r="F402" t="s">
        <v>45</v>
      </c>
      <c r="G402" t="s">
        <v>21</v>
      </c>
      <c r="H402" t="s">
        <v>15</v>
      </c>
      <c r="I402" t="s">
        <v>46</v>
      </c>
      <c r="J402">
        <v>2.4032484E-2</v>
      </c>
      <c r="L402">
        <v>124.973</v>
      </c>
      <c r="M402">
        <v>5</v>
      </c>
    </row>
    <row r="403" spans="1:13" hidden="1" x14ac:dyDescent="0.3">
      <c r="A403" t="s">
        <v>17</v>
      </c>
      <c r="B403">
        <v>402</v>
      </c>
      <c r="C403" t="s">
        <v>60</v>
      </c>
      <c r="D403" t="s">
        <v>61</v>
      </c>
      <c r="E403">
        <v>2018</v>
      </c>
      <c r="F403" t="s">
        <v>45</v>
      </c>
      <c r="G403" t="s">
        <v>21</v>
      </c>
      <c r="H403" t="s">
        <v>15</v>
      </c>
      <c r="I403" t="s">
        <v>46</v>
      </c>
      <c r="J403">
        <v>1.6745263999999999E-2</v>
      </c>
      <c r="L403">
        <v>180.76599999999999</v>
      </c>
      <c r="M403">
        <v>5</v>
      </c>
    </row>
    <row r="404" spans="1:13" hidden="1" x14ac:dyDescent="0.3">
      <c r="A404" t="s">
        <v>17</v>
      </c>
      <c r="B404">
        <v>403</v>
      </c>
      <c r="C404" t="s">
        <v>410</v>
      </c>
      <c r="D404" t="s">
        <v>19</v>
      </c>
      <c r="E404">
        <v>2018</v>
      </c>
      <c r="F404" t="s">
        <v>45</v>
      </c>
      <c r="G404" t="s">
        <v>21</v>
      </c>
      <c r="H404" t="s">
        <v>15</v>
      </c>
      <c r="I404" t="s">
        <v>46</v>
      </c>
      <c r="J404">
        <v>5.8198141000000002E-2</v>
      </c>
      <c r="L404">
        <v>110.45440000000001</v>
      </c>
      <c r="M404">
        <v>5</v>
      </c>
    </row>
    <row r="405" spans="1:13" hidden="1" x14ac:dyDescent="0.3">
      <c r="A405" t="s">
        <v>17</v>
      </c>
      <c r="B405">
        <v>404</v>
      </c>
      <c r="C405" t="s">
        <v>411</v>
      </c>
      <c r="D405" t="s">
        <v>42</v>
      </c>
      <c r="E405">
        <v>2018</v>
      </c>
      <c r="F405" t="s">
        <v>45</v>
      </c>
      <c r="G405" t="s">
        <v>21</v>
      </c>
      <c r="H405" t="s">
        <v>15</v>
      </c>
      <c r="I405" t="s">
        <v>46</v>
      </c>
      <c r="J405">
        <v>9.2564193000000003E-2</v>
      </c>
      <c r="L405">
        <v>53.495600000000003</v>
      </c>
      <c r="M405">
        <v>5</v>
      </c>
    </row>
    <row r="406" spans="1:13" hidden="1" x14ac:dyDescent="0.3">
      <c r="A406" t="s">
        <v>17</v>
      </c>
      <c r="B406">
        <v>405</v>
      </c>
      <c r="C406" t="s">
        <v>412</v>
      </c>
      <c r="D406" t="s">
        <v>42</v>
      </c>
      <c r="E406">
        <v>2018</v>
      </c>
      <c r="F406" t="s">
        <v>45</v>
      </c>
      <c r="G406" t="s">
        <v>21</v>
      </c>
      <c r="H406" t="s">
        <v>15</v>
      </c>
      <c r="I406" t="s">
        <v>46</v>
      </c>
      <c r="J406">
        <v>0.12929931</v>
      </c>
      <c r="L406">
        <v>178.23699999999999</v>
      </c>
      <c r="M406">
        <v>5</v>
      </c>
    </row>
    <row r="407" spans="1:13" hidden="1" x14ac:dyDescent="0.3">
      <c r="A407" t="s">
        <v>17</v>
      </c>
      <c r="B407">
        <v>406</v>
      </c>
      <c r="C407" t="s">
        <v>413</v>
      </c>
      <c r="D407" t="s">
        <v>42</v>
      </c>
      <c r="E407">
        <v>2018</v>
      </c>
      <c r="F407" t="s">
        <v>45</v>
      </c>
      <c r="G407" t="s">
        <v>21</v>
      </c>
      <c r="H407" t="s">
        <v>15</v>
      </c>
      <c r="I407" t="s">
        <v>46</v>
      </c>
      <c r="J407">
        <v>7.3879939000000006E-2</v>
      </c>
      <c r="L407">
        <v>94.046199999999999</v>
      </c>
      <c r="M407">
        <v>5</v>
      </c>
    </row>
    <row r="408" spans="1:13" hidden="1" x14ac:dyDescent="0.3">
      <c r="A408" t="s">
        <v>17</v>
      </c>
      <c r="B408">
        <v>407</v>
      </c>
      <c r="C408" t="s">
        <v>380</v>
      </c>
      <c r="D408" t="s">
        <v>42</v>
      </c>
      <c r="E408">
        <v>2018</v>
      </c>
      <c r="F408" t="s">
        <v>45</v>
      </c>
      <c r="G408" t="s">
        <v>21</v>
      </c>
      <c r="H408" t="s">
        <v>15</v>
      </c>
      <c r="I408" t="s">
        <v>46</v>
      </c>
      <c r="J408">
        <v>7.6183666999999997E-2</v>
      </c>
      <c r="L408">
        <v>245.64599999999999</v>
      </c>
      <c r="M408">
        <v>5</v>
      </c>
    </row>
    <row r="409" spans="1:13" hidden="1" x14ac:dyDescent="0.3">
      <c r="A409" t="s">
        <v>17</v>
      </c>
      <c r="B409">
        <v>408</v>
      </c>
      <c r="C409" t="s">
        <v>115</v>
      </c>
      <c r="D409" t="s">
        <v>42</v>
      </c>
      <c r="E409">
        <v>2018</v>
      </c>
      <c r="F409" t="s">
        <v>45</v>
      </c>
      <c r="G409" t="s">
        <v>21</v>
      </c>
      <c r="H409" t="s">
        <v>15</v>
      </c>
      <c r="I409" t="s">
        <v>46</v>
      </c>
      <c r="J409">
        <v>6.6969525000000002E-2</v>
      </c>
      <c r="L409">
        <v>39.279600000000002</v>
      </c>
      <c r="M409">
        <v>5</v>
      </c>
    </row>
    <row r="410" spans="1:13" hidden="1" x14ac:dyDescent="0.3">
      <c r="A410" t="s">
        <v>17</v>
      </c>
      <c r="B410">
        <v>409</v>
      </c>
      <c r="C410" t="s">
        <v>382</v>
      </c>
      <c r="D410" t="s">
        <v>42</v>
      </c>
      <c r="E410">
        <v>2018</v>
      </c>
      <c r="F410" t="s">
        <v>45</v>
      </c>
      <c r="G410" t="s">
        <v>21</v>
      </c>
      <c r="H410" t="s">
        <v>15</v>
      </c>
      <c r="I410" t="s">
        <v>46</v>
      </c>
      <c r="J410">
        <v>1.4153743E-2</v>
      </c>
      <c r="L410">
        <v>145.64179999999999</v>
      </c>
      <c r="M410">
        <v>5</v>
      </c>
    </row>
    <row r="411" spans="1:13" hidden="1" x14ac:dyDescent="0.3">
      <c r="A411" t="s">
        <v>17</v>
      </c>
      <c r="B411">
        <v>410</v>
      </c>
      <c r="C411" t="s">
        <v>414</v>
      </c>
      <c r="D411" t="s">
        <v>42</v>
      </c>
      <c r="E411">
        <v>2018</v>
      </c>
      <c r="F411" t="s">
        <v>45</v>
      </c>
      <c r="G411" t="s">
        <v>21</v>
      </c>
      <c r="H411" t="s">
        <v>15</v>
      </c>
      <c r="I411" t="s">
        <v>46</v>
      </c>
      <c r="J411">
        <v>1.9412192000000002E-2</v>
      </c>
      <c r="L411">
        <v>166.54740000000001</v>
      </c>
      <c r="M411">
        <v>5</v>
      </c>
    </row>
    <row r="412" spans="1:13" hidden="1" x14ac:dyDescent="0.3">
      <c r="A412" t="s">
        <v>17</v>
      </c>
      <c r="B412">
        <v>411</v>
      </c>
      <c r="C412" t="s">
        <v>415</v>
      </c>
      <c r="D412" t="s">
        <v>64</v>
      </c>
      <c r="E412">
        <v>2018</v>
      </c>
      <c r="F412" t="s">
        <v>45</v>
      </c>
      <c r="G412" t="s">
        <v>21</v>
      </c>
      <c r="H412" t="s">
        <v>15</v>
      </c>
      <c r="I412" t="s">
        <v>46</v>
      </c>
      <c r="J412">
        <v>0.117607719</v>
      </c>
      <c r="L412">
        <v>55.258800000000001</v>
      </c>
      <c r="M412">
        <v>5</v>
      </c>
    </row>
    <row r="413" spans="1:13" hidden="1" x14ac:dyDescent="0.3">
      <c r="A413" t="s">
        <v>17</v>
      </c>
      <c r="B413">
        <v>412</v>
      </c>
      <c r="C413" t="s">
        <v>416</v>
      </c>
      <c r="D413" t="s">
        <v>48</v>
      </c>
      <c r="E413">
        <v>2018</v>
      </c>
      <c r="F413" t="s">
        <v>45</v>
      </c>
      <c r="G413" t="s">
        <v>21</v>
      </c>
      <c r="H413" t="s">
        <v>15</v>
      </c>
      <c r="I413" t="s">
        <v>46</v>
      </c>
      <c r="J413">
        <v>0.14057197099999999</v>
      </c>
      <c r="L413">
        <v>154.7998</v>
      </c>
      <c r="M413">
        <v>5</v>
      </c>
    </row>
    <row r="414" spans="1:13" hidden="1" x14ac:dyDescent="0.3">
      <c r="A414" t="s">
        <v>17</v>
      </c>
      <c r="B414">
        <v>413</v>
      </c>
      <c r="C414" t="s">
        <v>417</v>
      </c>
      <c r="D414" t="s">
        <v>48</v>
      </c>
      <c r="E414">
        <v>2018</v>
      </c>
      <c r="F414" t="s">
        <v>45</v>
      </c>
      <c r="G414" t="s">
        <v>21</v>
      </c>
      <c r="H414" t="s">
        <v>15</v>
      </c>
      <c r="I414" t="s">
        <v>46</v>
      </c>
      <c r="J414">
        <v>9.9478450999999996E-2</v>
      </c>
      <c r="L414">
        <v>194.4452</v>
      </c>
      <c r="M414">
        <v>5</v>
      </c>
    </row>
    <row r="415" spans="1:13" hidden="1" x14ac:dyDescent="0.3">
      <c r="A415" t="s">
        <v>17</v>
      </c>
      <c r="B415">
        <v>414</v>
      </c>
      <c r="C415" t="s">
        <v>418</v>
      </c>
      <c r="D415" t="s">
        <v>48</v>
      </c>
      <c r="E415">
        <v>2018</v>
      </c>
      <c r="F415" t="s">
        <v>45</v>
      </c>
      <c r="G415" t="s">
        <v>21</v>
      </c>
      <c r="H415" t="s">
        <v>15</v>
      </c>
      <c r="I415" t="s">
        <v>46</v>
      </c>
      <c r="J415">
        <v>3.3725743000000002E-2</v>
      </c>
      <c r="L415">
        <v>211.6902</v>
      </c>
      <c r="M415">
        <v>5</v>
      </c>
    </row>
    <row r="416" spans="1:13" hidden="1" x14ac:dyDescent="0.3">
      <c r="A416" t="s">
        <v>17</v>
      </c>
      <c r="B416">
        <v>415</v>
      </c>
      <c r="C416" t="s">
        <v>356</v>
      </c>
      <c r="D416" t="s">
        <v>32</v>
      </c>
      <c r="E416">
        <v>2018</v>
      </c>
      <c r="F416" t="s">
        <v>45</v>
      </c>
      <c r="G416" t="s">
        <v>21</v>
      </c>
      <c r="H416" t="s">
        <v>15</v>
      </c>
      <c r="I416" t="s">
        <v>46</v>
      </c>
      <c r="J416">
        <v>5.3113721000000003E-2</v>
      </c>
      <c r="L416">
        <v>44.377000000000002</v>
      </c>
      <c r="M416">
        <v>5</v>
      </c>
    </row>
    <row r="417" spans="1:13" hidden="1" x14ac:dyDescent="0.3">
      <c r="A417" t="s">
        <v>10</v>
      </c>
      <c r="B417">
        <v>416</v>
      </c>
      <c r="C417" t="s">
        <v>419</v>
      </c>
      <c r="D417" t="s">
        <v>95</v>
      </c>
      <c r="E417">
        <v>2018</v>
      </c>
      <c r="F417" t="s">
        <v>45</v>
      </c>
      <c r="G417" t="s">
        <v>21</v>
      </c>
      <c r="H417" t="s">
        <v>15</v>
      </c>
      <c r="I417" t="s">
        <v>46</v>
      </c>
      <c r="J417">
        <v>0</v>
      </c>
      <c r="L417">
        <v>165.58680000000001</v>
      </c>
      <c r="M417">
        <v>5</v>
      </c>
    </row>
    <row r="418" spans="1:13" hidden="1" x14ac:dyDescent="0.3">
      <c r="A418" t="s">
        <v>10</v>
      </c>
      <c r="B418">
        <v>417</v>
      </c>
      <c r="C418" t="s">
        <v>420</v>
      </c>
      <c r="D418" t="s">
        <v>95</v>
      </c>
      <c r="E418">
        <v>2018</v>
      </c>
      <c r="F418" t="s">
        <v>45</v>
      </c>
      <c r="G418" t="s">
        <v>21</v>
      </c>
      <c r="H418" t="s">
        <v>15</v>
      </c>
      <c r="I418" t="s">
        <v>46</v>
      </c>
      <c r="J418">
        <v>6.2954719999999999E-3</v>
      </c>
      <c r="L418">
        <v>122.4098</v>
      </c>
      <c r="M418">
        <v>5</v>
      </c>
    </row>
    <row r="419" spans="1:13" hidden="1" x14ac:dyDescent="0.3">
      <c r="A419" t="s">
        <v>10</v>
      </c>
      <c r="B419">
        <v>418</v>
      </c>
      <c r="C419" t="s">
        <v>421</v>
      </c>
      <c r="D419" t="s">
        <v>95</v>
      </c>
      <c r="E419">
        <v>2018</v>
      </c>
      <c r="F419" t="s">
        <v>45</v>
      </c>
      <c r="G419" t="s">
        <v>21</v>
      </c>
      <c r="H419" t="s">
        <v>15</v>
      </c>
      <c r="I419" t="s">
        <v>46</v>
      </c>
      <c r="J419">
        <v>0.13948429200000001</v>
      </c>
      <c r="L419">
        <v>94.311999999999998</v>
      </c>
      <c r="M419">
        <v>5</v>
      </c>
    </row>
    <row r="420" spans="1:13" hidden="1" x14ac:dyDescent="0.3">
      <c r="A420" t="s">
        <v>10</v>
      </c>
      <c r="B420">
        <v>419</v>
      </c>
      <c r="C420" t="s">
        <v>422</v>
      </c>
      <c r="D420" t="s">
        <v>74</v>
      </c>
      <c r="E420">
        <v>2018</v>
      </c>
      <c r="F420" t="s">
        <v>45</v>
      </c>
      <c r="G420" t="s">
        <v>21</v>
      </c>
      <c r="H420" t="s">
        <v>15</v>
      </c>
      <c r="I420" t="s">
        <v>46</v>
      </c>
      <c r="J420">
        <v>0.15607236099999999</v>
      </c>
      <c r="L420">
        <v>169.34739999999999</v>
      </c>
      <c r="M420">
        <v>5</v>
      </c>
    </row>
    <row r="421" spans="1:13" hidden="1" x14ac:dyDescent="0.3">
      <c r="A421" t="s">
        <v>10</v>
      </c>
      <c r="B421">
        <v>420</v>
      </c>
      <c r="C421" t="s">
        <v>423</v>
      </c>
      <c r="D421" t="s">
        <v>28</v>
      </c>
      <c r="E421">
        <v>2018</v>
      </c>
      <c r="F421" t="s">
        <v>45</v>
      </c>
      <c r="G421" t="s">
        <v>21</v>
      </c>
      <c r="H421" t="s">
        <v>15</v>
      </c>
      <c r="I421" t="s">
        <v>46</v>
      </c>
      <c r="J421">
        <v>0.102226474</v>
      </c>
      <c r="L421">
        <v>91.311999999999998</v>
      </c>
      <c r="M421">
        <v>5</v>
      </c>
    </row>
    <row r="422" spans="1:13" hidden="1" x14ac:dyDescent="0.3">
      <c r="A422" t="s">
        <v>10</v>
      </c>
      <c r="B422">
        <v>421</v>
      </c>
      <c r="C422" t="s">
        <v>396</v>
      </c>
      <c r="D422" t="s">
        <v>28</v>
      </c>
      <c r="E422">
        <v>2018</v>
      </c>
      <c r="F422" t="s">
        <v>45</v>
      </c>
      <c r="G422" t="s">
        <v>21</v>
      </c>
      <c r="H422" t="s">
        <v>15</v>
      </c>
      <c r="I422" t="s">
        <v>46</v>
      </c>
      <c r="J422">
        <v>0.16065368199999999</v>
      </c>
      <c r="L422">
        <v>185.22659999999999</v>
      </c>
      <c r="M422">
        <v>5</v>
      </c>
    </row>
    <row r="423" spans="1:13" hidden="1" x14ac:dyDescent="0.3">
      <c r="A423" t="s">
        <v>10</v>
      </c>
      <c r="B423">
        <v>422</v>
      </c>
      <c r="C423" t="s">
        <v>424</v>
      </c>
      <c r="D423" t="s">
        <v>67</v>
      </c>
      <c r="E423">
        <v>2018</v>
      </c>
      <c r="F423" t="s">
        <v>45</v>
      </c>
      <c r="G423" t="s">
        <v>21</v>
      </c>
      <c r="H423" t="s">
        <v>15</v>
      </c>
      <c r="I423" t="s">
        <v>46</v>
      </c>
      <c r="J423">
        <v>3.7962695999999997E-2</v>
      </c>
      <c r="L423">
        <v>97.572599999999994</v>
      </c>
      <c r="M423">
        <v>5</v>
      </c>
    </row>
    <row r="424" spans="1:13" hidden="1" x14ac:dyDescent="0.3">
      <c r="A424" t="s">
        <v>10</v>
      </c>
      <c r="B424">
        <v>423</v>
      </c>
      <c r="C424" t="s">
        <v>425</v>
      </c>
      <c r="D424" t="s">
        <v>24</v>
      </c>
      <c r="E424">
        <v>2018</v>
      </c>
      <c r="F424" t="s">
        <v>45</v>
      </c>
      <c r="G424" t="s">
        <v>21</v>
      </c>
      <c r="H424" t="s">
        <v>15</v>
      </c>
      <c r="I424" t="s">
        <v>46</v>
      </c>
      <c r="J424">
        <v>9.0473389000000001E-2</v>
      </c>
      <c r="L424">
        <v>229.79839999999999</v>
      </c>
      <c r="M424">
        <v>5</v>
      </c>
    </row>
    <row r="425" spans="1:13" hidden="1" x14ac:dyDescent="0.3">
      <c r="A425" t="s">
        <v>10</v>
      </c>
      <c r="B425">
        <v>424</v>
      </c>
      <c r="C425" t="s">
        <v>426</v>
      </c>
      <c r="D425" t="s">
        <v>12</v>
      </c>
      <c r="E425">
        <v>2018</v>
      </c>
      <c r="F425" t="s">
        <v>45</v>
      </c>
      <c r="G425" t="s">
        <v>21</v>
      </c>
      <c r="H425" t="s">
        <v>15</v>
      </c>
      <c r="I425" t="s">
        <v>46</v>
      </c>
      <c r="J425">
        <v>0.14433849300000001</v>
      </c>
      <c r="L425">
        <v>172.108</v>
      </c>
      <c r="M425">
        <v>5</v>
      </c>
    </row>
    <row r="426" spans="1:13" hidden="1" x14ac:dyDescent="0.3">
      <c r="A426" t="s">
        <v>10</v>
      </c>
      <c r="B426">
        <v>425</v>
      </c>
      <c r="C426" t="s">
        <v>427</v>
      </c>
      <c r="D426" t="s">
        <v>12</v>
      </c>
      <c r="E426">
        <v>2018</v>
      </c>
      <c r="F426" t="s">
        <v>45</v>
      </c>
      <c r="G426" t="s">
        <v>21</v>
      </c>
      <c r="H426" t="s">
        <v>15</v>
      </c>
      <c r="I426" t="s">
        <v>46</v>
      </c>
      <c r="J426">
        <v>3.8313980999999997E-2</v>
      </c>
      <c r="L426">
        <v>109.95699999999999</v>
      </c>
      <c r="M426">
        <v>5</v>
      </c>
    </row>
    <row r="427" spans="1:13" hidden="1" x14ac:dyDescent="0.3">
      <c r="A427" t="s">
        <v>10</v>
      </c>
      <c r="B427">
        <v>426</v>
      </c>
      <c r="C427" t="s">
        <v>428</v>
      </c>
      <c r="D427" t="s">
        <v>54</v>
      </c>
      <c r="E427">
        <v>2018</v>
      </c>
      <c r="F427" t="s">
        <v>45</v>
      </c>
      <c r="G427" t="s">
        <v>21</v>
      </c>
      <c r="H427" t="s">
        <v>15</v>
      </c>
      <c r="I427" t="s">
        <v>46</v>
      </c>
      <c r="J427">
        <v>0.17262968300000001</v>
      </c>
      <c r="L427">
        <v>148.4708</v>
      </c>
      <c r="M427">
        <v>5</v>
      </c>
    </row>
    <row r="428" spans="1:13" hidden="1"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hidden="1"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hidden="1"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hidden="1"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hidden="1" x14ac:dyDescent="0.3">
      <c r="A459" t="s">
        <v>17</v>
      </c>
      <c r="B459">
        <v>458</v>
      </c>
      <c r="C459" t="s">
        <v>452</v>
      </c>
      <c r="D459" t="s">
        <v>24</v>
      </c>
      <c r="E459">
        <v>2018</v>
      </c>
      <c r="F459" t="s">
        <v>138</v>
      </c>
      <c r="G459" t="s">
        <v>14</v>
      </c>
      <c r="H459" t="s">
        <v>26</v>
      </c>
      <c r="I459" t="s">
        <v>40</v>
      </c>
      <c r="J459">
        <v>0.14359158599999999</v>
      </c>
      <c r="L459">
        <v>213.55340000000001</v>
      </c>
      <c r="M459">
        <v>4.8</v>
      </c>
    </row>
    <row r="460" spans="1:13" hidden="1" x14ac:dyDescent="0.3">
      <c r="A460" t="s">
        <v>17</v>
      </c>
      <c r="B460">
        <v>459</v>
      </c>
      <c r="C460" t="s">
        <v>453</v>
      </c>
      <c r="D460" t="s">
        <v>95</v>
      </c>
      <c r="E460">
        <v>2018</v>
      </c>
      <c r="F460" t="s">
        <v>138</v>
      </c>
      <c r="G460" t="s">
        <v>14</v>
      </c>
      <c r="H460" t="s">
        <v>26</v>
      </c>
      <c r="I460" t="s">
        <v>40</v>
      </c>
      <c r="J460">
        <v>6.1999647999999997E-2</v>
      </c>
      <c r="L460">
        <v>230.001</v>
      </c>
      <c r="M460">
        <v>4.8</v>
      </c>
    </row>
    <row r="461" spans="1:13" hidden="1" x14ac:dyDescent="0.3">
      <c r="A461" t="s">
        <v>17</v>
      </c>
      <c r="B461">
        <v>460</v>
      </c>
      <c r="C461" t="s">
        <v>454</v>
      </c>
      <c r="D461" t="s">
        <v>67</v>
      </c>
      <c r="E461">
        <v>2018</v>
      </c>
      <c r="F461" t="s">
        <v>138</v>
      </c>
      <c r="G461" t="s">
        <v>14</v>
      </c>
      <c r="H461" t="s">
        <v>26</v>
      </c>
      <c r="I461" t="s">
        <v>40</v>
      </c>
      <c r="J461">
        <v>0</v>
      </c>
      <c r="L461">
        <v>51.234999999999999</v>
      </c>
      <c r="M461">
        <v>4.8</v>
      </c>
    </row>
    <row r="462" spans="1:13" hidden="1" x14ac:dyDescent="0.3">
      <c r="A462" t="s">
        <v>17</v>
      </c>
      <c r="B462">
        <v>461</v>
      </c>
      <c r="C462" t="s">
        <v>455</v>
      </c>
      <c r="D462" t="s">
        <v>48</v>
      </c>
      <c r="E462">
        <v>2018</v>
      </c>
      <c r="F462" t="s">
        <v>138</v>
      </c>
      <c r="G462" t="s">
        <v>14</v>
      </c>
      <c r="H462" t="s">
        <v>26</v>
      </c>
      <c r="I462" t="s">
        <v>40</v>
      </c>
      <c r="J462">
        <v>0.16845554900000001</v>
      </c>
      <c r="L462">
        <v>211.06120000000001</v>
      </c>
      <c r="M462">
        <v>4.8</v>
      </c>
    </row>
    <row r="463" spans="1:13" hidden="1" x14ac:dyDescent="0.3">
      <c r="A463" t="s">
        <v>10</v>
      </c>
      <c r="B463">
        <v>462</v>
      </c>
      <c r="C463" t="s">
        <v>456</v>
      </c>
      <c r="D463" t="s">
        <v>67</v>
      </c>
      <c r="E463">
        <v>2018</v>
      </c>
      <c r="F463" t="s">
        <v>138</v>
      </c>
      <c r="G463" t="s">
        <v>14</v>
      </c>
      <c r="H463" t="s">
        <v>26</v>
      </c>
      <c r="I463" t="s">
        <v>40</v>
      </c>
      <c r="J463">
        <v>6.6006824000000006E-2</v>
      </c>
      <c r="L463">
        <v>126.2704</v>
      </c>
      <c r="M463">
        <v>4.8</v>
      </c>
    </row>
    <row r="464" spans="1:13" hidden="1" x14ac:dyDescent="0.3">
      <c r="A464" t="s">
        <v>10</v>
      </c>
      <c r="B464">
        <v>463</v>
      </c>
      <c r="C464" t="s">
        <v>457</v>
      </c>
      <c r="D464" t="s">
        <v>54</v>
      </c>
      <c r="E464">
        <v>2018</v>
      </c>
      <c r="F464" t="s">
        <v>138</v>
      </c>
      <c r="G464" t="s">
        <v>14</v>
      </c>
      <c r="H464" t="s">
        <v>26</v>
      </c>
      <c r="I464" t="s">
        <v>40</v>
      </c>
      <c r="J464">
        <v>5.8545606E-2</v>
      </c>
      <c r="L464">
        <v>155.8314</v>
      </c>
      <c r="M464">
        <v>4.8</v>
      </c>
    </row>
    <row r="465" spans="1:13" hidden="1"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hidden="1" x14ac:dyDescent="0.3">
      <c r="A503" t="s">
        <v>10</v>
      </c>
      <c r="B503">
        <v>502</v>
      </c>
      <c r="C503" t="s">
        <v>488</v>
      </c>
      <c r="D503" t="s">
        <v>12</v>
      </c>
      <c r="E503">
        <v>2018</v>
      </c>
      <c r="F503" t="s">
        <v>45</v>
      </c>
      <c r="G503" t="s">
        <v>21</v>
      </c>
      <c r="H503" t="s">
        <v>15</v>
      </c>
      <c r="I503" t="s">
        <v>46</v>
      </c>
      <c r="J503">
        <v>4.8738406999999997E-2</v>
      </c>
      <c r="L503">
        <v>152.8682</v>
      </c>
      <c r="M503">
        <v>4.8</v>
      </c>
    </row>
    <row r="504" spans="1:13" hidden="1" x14ac:dyDescent="0.3">
      <c r="A504" t="s">
        <v>10</v>
      </c>
      <c r="B504">
        <v>503</v>
      </c>
      <c r="C504" t="s">
        <v>489</v>
      </c>
      <c r="D504" t="s">
        <v>54</v>
      </c>
      <c r="E504">
        <v>2018</v>
      </c>
      <c r="F504" t="s">
        <v>45</v>
      </c>
      <c r="G504" t="s">
        <v>21</v>
      </c>
      <c r="H504" t="s">
        <v>15</v>
      </c>
      <c r="I504" t="s">
        <v>46</v>
      </c>
      <c r="J504">
        <v>3.670437E-2</v>
      </c>
      <c r="L504">
        <v>228.1352</v>
      </c>
      <c r="M504">
        <v>4.8</v>
      </c>
    </row>
    <row r="505" spans="1:13" hidden="1"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hidden="1"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hidden="1" x14ac:dyDescent="0.3">
      <c r="A523" t="s">
        <v>17</v>
      </c>
      <c r="B523">
        <v>522</v>
      </c>
      <c r="C523" t="s">
        <v>502</v>
      </c>
      <c r="D523" t="s">
        <v>67</v>
      </c>
      <c r="E523">
        <v>2018</v>
      </c>
      <c r="F523" t="s">
        <v>138</v>
      </c>
      <c r="G523" t="s">
        <v>14</v>
      </c>
      <c r="H523" t="s">
        <v>26</v>
      </c>
      <c r="I523" t="s">
        <v>40</v>
      </c>
      <c r="J523">
        <v>0.17021367600000001</v>
      </c>
      <c r="L523">
        <v>89.585599999999999</v>
      </c>
      <c r="M523">
        <v>4.7</v>
      </c>
    </row>
    <row r="524" spans="1:13" hidden="1" x14ac:dyDescent="0.3">
      <c r="A524" t="s">
        <v>17</v>
      </c>
      <c r="B524">
        <v>523</v>
      </c>
      <c r="C524" t="s">
        <v>219</v>
      </c>
      <c r="D524" t="s">
        <v>48</v>
      </c>
      <c r="E524">
        <v>2018</v>
      </c>
      <c r="F524" t="s">
        <v>138</v>
      </c>
      <c r="G524" t="s">
        <v>14</v>
      </c>
      <c r="H524" t="s">
        <v>26</v>
      </c>
      <c r="I524" t="s">
        <v>40</v>
      </c>
      <c r="J524">
        <v>5.8092550999999999E-2</v>
      </c>
      <c r="L524">
        <v>172.04220000000001</v>
      </c>
      <c r="M524">
        <v>4.7</v>
      </c>
    </row>
    <row r="525" spans="1:13" hidden="1" x14ac:dyDescent="0.3">
      <c r="A525" t="s">
        <v>10</v>
      </c>
      <c r="B525">
        <v>524</v>
      </c>
      <c r="C525" t="s">
        <v>503</v>
      </c>
      <c r="D525" t="s">
        <v>24</v>
      </c>
      <c r="E525">
        <v>2018</v>
      </c>
      <c r="F525" t="s">
        <v>138</v>
      </c>
      <c r="G525" t="s">
        <v>14</v>
      </c>
      <c r="H525" t="s">
        <v>26</v>
      </c>
      <c r="I525" t="s">
        <v>40</v>
      </c>
      <c r="J525">
        <v>7.6868664000000003E-2</v>
      </c>
      <c r="L525">
        <v>62.119399999999999</v>
      </c>
      <c r="M525">
        <v>4.7</v>
      </c>
    </row>
    <row r="526" spans="1:13" hidden="1"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hidden="1" x14ac:dyDescent="0.3">
      <c r="A579" t="s">
        <v>17</v>
      </c>
      <c r="B579">
        <v>578</v>
      </c>
      <c r="C579" t="s">
        <v>472</v>
      </c>
      <c r="D579" t="s">
        <v>95</v>
      </c>
      <c r="E579">
        <v>2018</v>
      </c>
      <c r="F579" t="s">
        <v>45</v>
      </c>
      <c r="G579" t="s">
        <v>21</v>
      </c>
      <c r="H579" t="s">
        <v>15</v>
      </c>
      <c r="I579" t="s">
        <v>46</v>
      </c>
      <c r="J579">
        <v>0.10080442000000001</v>
      </c>
      <c r="L579">
        <v>45.474400000000003</v>
      </c>
      <c r="M579">
        <v>4.7</v>
      </c>
    </row>
    <row r="580" spans="1:13" hidden="1" x14ac:dyDescent="0.3">
      <c r="A580" t="s">
        <v>17</v>
      </c>
      <c r="B580">
        <v>579</v>
      </c>
      <c r="C580" t="s">
        <v>537</v>
      </c>
      <c r="D580" t="s">
        <v>28</v>
      </c>
      <c r="E580">
        <v>2018</v>
      </c>
      <c r="F580" t="s">
        <v>45</v>
      </c>
      <c r="G580" t="s">
        <v>21</v>
      </c>
      <c r="H580" t="s">
        <v>15</v>
      </c>
      <c r="I580" t="s">
        <v>46</v>
      </c>
      <c r="J580">
        <v>8.2152451000000001E-2</v>
      </c>
      <c r="L580">
        <v>179.90020000000001</v>
      </c>
      <c r="M580">
        <v>4.7</v>
      </c>
    </row>
    <row r="581" spans="1:13" hidden="1" x14ac:dyDescent="0.3">
      <c r="A581" t="s">
        <v>17</v>
      </c>
      <c r="B581">
        <v>580</v>
      </c>
      <c r="C581" t="s">
        <v>538</v>
      </c>
      <c r="D581" t="s">
        <v>19</v>
      </c>
      <c r="E581">
        <v>2018</v>
      </c>
      <c r="F581" t="s">
        <v>45</v>
      </c>
      <c r="G581" t="s">
        <v>21</v>
      </c>
      <c r="H581" t="s">
        <v>15</v>
      </c>
      <c r="I581" t="s">
        <v>46</v>
      </c>
      <c r="J581">
        <v>3.0347404000000001E-2</v>
      </c>
      <c r="L581">
        <v>192.5162</v>
      </c>
      <c r="M581">
        <v>4.7</v>
      </c>
    </row>
    <row r="582" spans="1:13" hidden="1" x14ac:dyDescent="0.3">
      <c r="A582" t="s">
        <v>17</v>
      </c>
      <c r="B582">
        <v>581</v>
      </c>
      <c r="C582" t="s">
        <v>539</v>
      </c>
      <c r="D582" t="s">
        <v>42</v>
      </c>
      <c r="E582">
        <v>2018</v>
      </c>
      <c r="F582" t="s">
        <v>45</v>
      </c>
      <c r="G582" t="s">
        <v>21</v>
      </c>
      <c r="H582" t="s">
        <v>15</v>
      </c>
      <c r="I582" t="s">
        <v>46</v>
      </c>
      <c r="J582">
        <v>4.1091215E-2</v>
      </c>
      <c r="L582">
        <v>89.551400000000001</v>
      </c>
      <c r="M582">
        <v>4.7</v>
      </c>
    </row>
    <row r="583" spans="1:13" hidden="1" x14ac:dyDescent="0.3">
      <c r="A583" t="s">
        <v>17</v>
      </c>
      <c r="B583">
        <v>582</v>
      </c>
      <c r="C583" t="s">
        <v>540</v>
      </c>
      <c r="D583" t="s">
        <v>32</v>
      </c>
      <c r="E583">
        <v>2018</v>
      </c>
      <c r="F583" t="s">
        <v>45</v>
      </c>
      <c r="G583" t="s">
        <v>21</v>
      </c>
      <c r="H583" t="s">
        <v>15</v>
      </c>
      <c r="I583" t="s">
        <v>46</v>
      </c>
      <c r="J583">
        <v>4.8841794000000001E-2</v>
      </c>
      <c r="L583">
        <v>64.716800000000006</v>
      </c>
      <c r="M583">
        <v>4.7</v>
      </c>
    </row>
    <row r="584" spans="1:13" hidden="1" x14ac:dyDescent="0.3">
      <c r="A584" t="s">
        <v>17</v>
      </c>
      <c r="B584">
        <v>583</v>
      </c>
      <c r="C584" t="s">
        <v>541</v>
      </c>
      <c r="D584" t="s">
        <v>32</v>
      </c>
      <c r="E584">
        <v>2018</v>
      </c>
      <c r="F584" t="s">
        <v>45</v>
      </c>
      <c r="G584" t="s">
        <v>21</v>
      </c>
      <c r="H584" t="s">
        <v>15</v>
      </c>
      <c r="I584" t="s">
        <v>46</v>
      </c>
      <c r="J584">
        <v>0.17423237699999999</v>
      </c>
      <c r="L584">
        <v>146.61019999999999</v>
      </c>
      <c r="M584">
        <v>4.7</v>
      </c>
    </row>
    <row r="585" spans="1:13" hidden="1"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hidden="1"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hidden="1"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hidden="1"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hidden="1"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hidden="1" x14ac:dyDescent="0.3">
      <c r="A678" t="s">
        <v>17</v>
      </c>
      <c r="B678">
        <v>677</v>
      </c>
      <c r="C678" t="s">
        <v>383</v>
      </c>
      <c r="D678" t="s">
        <v>54</v>
      </c>
      <c r="E678">
        <v>2018</v>
      </c>
      <c r="F678" t="s">
        <v>45</v>
      </c>
      <c r="G678" t="s">
        <v>21</v>
      </c>
      <c r="H678" t="s">
        <v>15</v>
      </c>
      <c r="I678" t="s">
        <v>46</v>
      </c>
      <c r="J678">
        <v>0</v>
      </c>
      <c r="L678">
        <v>109.1938</v>
      </c>
      <c r="M678">
        <v>4.5999999999999996</v>
      </c>
    </row>
    <row r="679" spans="1:13" hidden="1" x14ac:dyDescent="0.3">
      <c r="A679" t="s">
        <v>17</v>
      </c>
      <c r="B679">
        <v>678</v>
      </c>
      <c r="C679" t="s">
        <v>577</v>
      </c>
      <c r="D679" t="s">
        <v>54</v>
      </c>
      <c r="E679">
        <v>2018</v>
      </c>
      <c r="F679" t="s">
        <v>45</v>
      </c>
      <c r="G679" t="s">
        <v>21</v>
      </c>
      <c r="H679" t="s">
        <v>15</v>
      </c>
      <c r="I679" t="s">
        <v>46</v>
      </c>
      <c r="J679">
        <v>0.155541973</v>
      </c>
      <c r="L679">
        <v>159.7578</v>
      </c>
      <c r="M679">
        <v>4.5999999999999996</v>
      </c>
    </row>
    <row r="680" spans="1:13" hidden="1"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hidden="1"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hidden="1"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hidden="1"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hidden="1" x14ac:dyDescent="0.3">
      <c r="A684" t="s">
        <v>10</v>
      </c>
      <c r="B684">
        <v>683</v>
      </c>
      <c r="C684" t="s">
        <v>608</v>
      </c>
      <c r="D684" t="s">
        <v>54</v>
      </c>
      <c r="E684">
        <v>2018</v>
      </c>
      <c r="F684" t="s">
        <v>45</v>
      </c>
      <c r="G684" t="s">
        <v>21</v>
      </c>
      <c r="H684" t="s">
        <v>15</v>
      </c>
      <c r="I684" t="s">
        <v>46</v>
      </c>
      <c r="J684">
        <v>0</v>
      </c>
      <c r="L684">
        <v>182.0608</v>
      </c>
      <c r="M684">
        <v>4.5999999999999996</v>
      </c>
    </row>
    <row r="685" spans="1:13" hidden="1"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hidden="1"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hidden="1"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hidden="1" x14ac:dyDescent="0.3">
      <c r="A746" t="s">
        <v>17</v>
      </c>
      <c r="B746">
        <v>745</v>
      </c>
      <c r="C746" t="s">
        <v>516</v>
      </c>
      <c r="D746" t="s">
        <v>67</v>
      </c>
      <c r="E746">
        <v>2018</v>
      </c>
      <c r="F746" t="s">
        <v>138</v>
      </c>
      <c r="G746" t="s">
        <v>14</v>
      </c>
      <c r="H746" t="s">
        <v>26</v>
      </c>
      <c r="I746" t="s">
        <v>40</v>
      </c>
      <c r="J746">
        <v>9.9442328999999996E-2</v>
      </c>
      <c r="L746">
        <v>233.16419999999999</v>
      </c>
      <c r="M746">
        <v>4.5</v>
      </c>
    </row>
    <row r="747" spans="1:13" hidden="1" x14ac:dyDescent="0.3">
      <c r="A747" t="s">
        <v>17</v>
      </c>
      <c r="B747">
        <v>746</v>
      </c>
      <c r="C747" t="s">
        <v>650</v>
      </c>
      <c r="D747" t="s">
        <v>12</v>
      </c>
      <c r="E747">
        <v>2018</v>
      </c>
      <c r="F747" t="s">
        <v>138</v>
      </c>
      <c r="G747" t="s">
        <v>14</v>
      </c>
      <c r="H747" t="s">
        <v>26</v>
      </c>
      <c r="I747" t="s">
        <v>40</v>
      </c>
      <c r="J747">
        <v>0.22628438100000001</v>
      </c>
      <c r="L747">
        <v>163.221</v>
      </c>
      <c r="M747">
        <v>4.5</v>
      </c>
    </row>
    <row r="748" spans="1:13" hidden="1" x14ac:dyDescent="0.3">
      <c r="A748" t="s">
        <v>17</v>
      </c>
      <c r="B748">
        <v>747</v>
      </c>
      <c r="C748" t="s">
        <v>413</v>
      </c>
      <c r="D748" t="s">
        <v>42</v>
      </c>
      <c r="E748">
        <v>2018</v>
      </c>
      <c r="F748" t="s">
        <v>138</v>
      </c>
      <c r="G748" t="s">
        <v>14</v>
      </c>
      <c r="H748" t="s">
        <v>26</v>
      </c>
      <c r="I748" t="s">
        <v>40</v>
      </c>
      <c r="J748">
        <v>0.12998368799999999</v>
      </c>
      <c r="L748">
        <v>93.046199999999999</v>
      </c>
      <c r="M748">
        <v>4.5</v>
      </c>
    </row>
    <row r="749" spans="1:13" hidden="1" x14ac:dyDescent="0.3">
      <c r="A749" t="s">
        <v>17</v>
      </c>
      <c r="B749">
        <v>748</v>
      </c>
      <c r="C749" t="s">
        <v>651</v>
      </c>
      <c r="D749" t="s">
        <v>42</v>
      </c>
      <c r="E749">
        <v>2018</v>
      </c>
      <c r="F749" t="s">
        <v>138</v>
      </c>
      <c r="G749" t="s">
        <v>14</v>
      </c>
      <c r="H749" t="s">
        <v>26</v>
      </c>
      <c r="I749" t="s">
        <v>40</v>
      </c>
      <c r="J749">
        <v>2.7532258E-2</v>
      </c>
      <c r="L749">
        <v>185.0608</v>
      </c>
      <c r="M749">
        <v>4.5</v>
      </c>
    </row>
    <row r="750" spans="1:13" hidden="1" x14ac:dyDescent="0.3">
      <c r="A750" t="s">
        <v>17</v>
      </c>
      <c r="B750">
        <v>749</v>
      </c>
      <c r="C750" t="s">
        <v>652</v>
      </c>
      <c r="D750" t="s">
        <v>42</v>
      </c>
      <c r="E750">
        <v>2018</v>
      </c>
      <c r="F750" t="s">
        <v>138</v>
      </c>
      <c r="G750" t="s">
        <v>14</v>
      </c>
      <c r="H750" t="s">
        <v>26</v>
      </c>
      <c r="I750" t="s">
        <v>40</v>
      </c>
      <c r="J750">
        <v>7.3229342000000003E-2</v>
      </c>
      <c r="L750">
        <v>254.10140000000001</v>
      </c>
      <c r="M750">
        <v>4.5</v>
      </c>
    </row>
    <row r="751" spans="1:13" hidden="1" x14ac:dyDescent="0.3">
      <c r="A751" t="s">
        <v>17</v>
      </c>
      <c r="B751">
        <v>750</v>
      </c>
      <c r="C751" t="s">
        <v>653</v>
      </c>
      <c r="D751" t="s">
        <v>42</v>
      </c>
      <c r="E751">
        <v>2018</v>
      </c>
      <c r="F751" t="s">
        <v>138</v>
      </c>
      <c r="G751" t="s">
        <v>14</v>
      </c>
      <c r="H751" t="s">
        <v>26</v>
      </c>
      <c r="I751" t="s">
        <v>40</v>
      </c>
      <c r="J751">
        <v>0.116750407</v>
      </c>
      <c r="L751">
        <v>195.24780000000001</v>
      </c>
      <c r="M751">
        <v>4.5</v>
      </c>
    </row>
    <row r="752" spans="1:13" hidden="1" x14ac:dyDescent="0.3">
      <c r="A752" t="s">
        <v>17</v>
      </c>
      <c r="B752">
        <v>751</v>
      </c>
      <c r="C752" t="s">
        <v>654</v>
      </c>
      <c r="D752" t="s">
        <v>42</v>
      </c>
      <c r="E752">
        <v>2018</v>
      </c>
      <c r="F752" t="s">
        <v>138</v>
      </c>
      <c r="G752" t="s">
        <v>14</v>
      </c>
      <c r="H752" t="s">
        <v>26</v>
      </c>
      <c r="I752" t="s">
        <v>40</v>
      </c>
      <c r="J752">
        <v>0.14595153299999999</v>
      </c>
      <c r="L752">
        <v>160.95519999999999</v>
      </c>
      <c r="M752">
        <v>4.5</v>
      </c>
    </row>
    <row r="753" spans="1:13" hidden="1" x14ac:dyDescent="0.3">
      <c r="A753" t="s">
        <v>17</v>
      </c>
      <c r="B753">
        <v>752</v>
      </c>
      <c r="C753" t="s">
        <v>468</v>
      </c>
      <c r="D753" t="s">
        <v>64</v>
      </c>
      <c r="E753">
        <v>2018</v>
      </c>
      <c r="F753" t="s">
        <v>138</v>
      </c>
      <c r="G753" t="s">
        <v>14</v>
      </c>
      <c r="H753" t="s">
        <v>26</v>
      </c>
      <c r="I753" t="s">
        <v>40</v>
      </c>
      <c r="J753">
        <v>3.5997636E-2</v>
      </c>
      <c r="L753">
        <v>78.661799999999999</v>
      </c>
      <c r="M753">
        <v>4.5</v>
      </c>
    </row>
    <row r="754" spans="1:13" hidden="1" x14ac:dyDescent="0.3">
      <c r="A754" t="s">
        <v>17</v>
      </c>
      <c r="B754">
        <v>753</v>
      </c>
      <c r="C754" t="s">
        <v>469</v>
      </c>
      <c r="D754" t="s">
        <v>48</v>
      </c>
      <c r="E754">
        <v>2018</v>
      </c>
      <c r="F754" t="s">
        <v>138</v>
      </c>
      <c r="G754" t="s">
        <v>14</v>
      </c>
      <c r="H754" t="s">
        <v>26</v>
      </c>
      <c r="I754" t="s">
        <v>40</v>
      </c>
      <c r="J754">
        <v>0.164006137</v>
      </c>
      <c r="L754">
        <v>113.2834</v>
      </c>
      <c r="M754">
        <v>4.5</v>
      </c>
    </row>
    <row r="755" spans="1:13" hidden="1" x14ac:dyDescent="0.3">
      <c r="A755" t="s">
        <v>17</v>
      </c>
      <c r="B755">
        <v>754</v>
      </c>
      <c r="C755" t="s">
        <v>655</v>
      </c>
      <c r="D755" t="s">
        <v>48</v>
      </c>
      <c r="E755">
        <v>2018</v>
      </c>
      <c r="F755" t="s">
        <v>138</v>
      </c>
      <c r="G755" t="s">
        <v>14</v>
      </c>
      <c r="H755" t="s">
        <v>26</v>
      </c>
      <c r="I755" t="s">
        <v>40</v>
      </c>
      <c r="J755">
        <v>4.6903970000000003E-2</v>
      </c>
      <c r="L755">
        <v>110.657</v>
      </c>
      <c r="M755">
        <v>4.5</v>
      </c>
    </row>
    <row r="756" spans="1:13" hidden="1" x14ac:dyDescent="0.3">
      <c r="A756" t="s">
        <v>17</v>
      </c>
      <c r="B756">
        <v>755</v>
      </c>
      <c r="C756" t="s">
        <v>656</v>
      </c>
      <c r="D756" t="s">
        <v>48</v>
      </c>
      <c r="E756">
        <v>2018</v>
      </c>
      <c r="F756" t="s">
        <v>138</v>
      </c>
      <c r="G756" t="s">
        <v>14</v>
      </c>
      <c r="H756" t="s">
        <v>26</v>
      </c>
      <c r="I756" t="s">
        <v>40</v>
      </c>
      <c r="J756">
        <v>0.18111405899999999</v>
      </c>
      <c r="L756">
        <v>141.64699999999999</v>
      </c>
      <c r="M756">
        <v>4.5</v>
      </c>
    </row>
    <row r="757" spans="1:13" hidden="1" x14ac:dyDescent="0.3">
      <c r="A757" t="s">
        <v>17</v>
      </c>
      <c r="B757">
        <v>756</v>
      </c>
      <c r="C757" t="s">
        <v>657</v>
      </c>
      <c r="D757" t="s">
        <v>32</v>
      </c>
      <c r="E757">
        <v>2018</v>
      </c>
      <c r="F757" t="s">
        <v>138</v>
      </c>
      <c r="G757" t="s">
        <v>14</v>
      </c>
      <c r="H757" t="s">
        <v>26</v>
      </c>
      <c r="I757" t="s">
        <v>40</v>
      </c>
      <c r="J757">
        <v>0.17141731599999999</v>
      </c>
      <c r="L757">
        <v>173.07380000000001</v>
      </c>
      <c r="M757">
        <v>4.5</v>
      </c>
    </row>
    <row r="758" spans="1:13" hidden="1" x14ac:dyDescent="0.3">
      <c r="A758" t="s">
        <v>10</v>
      </c>
      <c r="B758">
        <v>757</v>
      </c>
      <c r="C758" t="s">
        <v>319</v>
      </c>
      <c r="D758" t="s">
        <v>48</v>
      </c>
      <c r="E758">
        <v>2018</v>
      </c>
      <c r="F758" t="s">
        <v>138</v>
      </c>
      <c r="G758" t="s">
        <v>14</v>
      </c>
      <c r="H758" t="s">
        <v>26</v>
      </c>
      <c r="I758" t="s">
        <v>40</v>
      </c>
      <c r="J758">
        <v>0.184359831</v>
      </c>
      <c r="L758">
        <v>172.6764</v>
      </c>
      <c r="M758">
        <v>4.5</v>
      </c>
    </row>
    <row r="759" spans="1:13" hidden="1" x14ac:dyDescent="0.3">
      <c r="A759" t="s">
        <v>10</v>
      </c>
      <c r="B759">
        <v>758</v>
      </c>
      <c r="C759" t="s">
        <v>658</v>
      </c>
      <c r="D759" t="s">
        <v>48</v>
      </c>
      <c r="E759">
        <v>2018</v>
      </c>
      <c r="F759" t="s">
        <v>138</v>
      </c>
      <c r="G759" t="s">
        <v>14</v>
      </c>
      <c r="H759" t="s">
        <v>26</v>
      </c>
      <c r="I759" t="s">
        <v>40</v>
      </c>
      <c r="J759">
        <v>0.11744283799999999</v>
      </c>
      <c r="L759">
        <v>257.73039999999997</v>
      </c>
      <c r="M759">
        <v>4.5</v>
      </c>
    </row>
    <row r="760" spans="1:13" hidden="1" x14ac:dyDescent="0.3">
      <c r="A760" t="s">
        <v>10</v>
      </c>
      <c r="B760">
        <v>759</v>
      </c>
      <c r="C760" t="s">
        <v>659</v>
      </c>
      <c r="D760" t="s">
        <v>48</v>
      </c>
      <c r="E760">
        <v>2018</v>
      </c>
      <c r="F760" t="s">
        <v>138</v>
      </c>
      <c r="G760" t="s">
        <v>14</v>
      </c>
      <c r="H760" t="s">
        <v>26</v>
      </c>
      <c r="I760" t="s">
        <v>40</v>
      </c>
      <c r="J760">
        <v>2.1471456E-2</v>
      </c>
      <c r="L760">
        <v>131.0284</v>
      </c>
      <c r="M760">
        <v>4.5</v>
      </c>
    </row>
    <row r="761" spans="1:13" hidden="1" x14ac:dyDescent="0.3">
      <c r="A761" t="s">
        <v>10</v>
      </c>
      <c r="B761">
        <v>760</v>
      </c>
      <c r="C761" t="s">
        <v>660</v>
      </c>
      <c r="D761" t="s">
        <v>48</v>
      </c>
      <c r="E761">
        <v>2018</v>
      </c>
      <c r="F761" t="s">
        <v>138</v>
      </c>
      <c r="G761" t="s">
        <v>14</v>
      </c>
      <c r="H761" t="s">
        <v>26</v>
      </c>
      <c r="I761" t="s">
        <v>40</v>
      </c>
      <c r="J761">
        <v>0.17018662800000001</v>
      </c>
      <c r="L761">
        <v>159.02619999999999</v>
      </c>
      <c r="M761">
        <v>4.5</v>
      </c>
    </row>
    <row r="762" spans="1:13" hidden="1"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hidden="1" x14ac:dyDescent="0.3">
      <c r="A916" t="s">
        <v>17</v>
      </c>
      <c r="B916">
        <v>915</v>
      </c>
      <c r="C916" t="s">
        <v>745</v>
      </c>
      <c r="D916" t="s">
        <v>57</v>
      </c>
      <c r="E916">
        <v>2018</v>
      </c>
      <c r="F916" t="s">
        <v>45</v>
      </c>
      <c r="G916" t="s">
        <v>21</v>
      </c>
      <c r="H916" t="s">
        <v>15</v>
      </c>
      <c r="I916" t="s">
        <v>46</v>
      </c>
      <c r="J916">
        <v>6.8765925000000006E-2</v>
      </c>
      <c r="L916">
        <v>216.91659999999999</v>
      </c>
      <c r="M916">
        <v>4.5</v>
      </c>
    </row>
    <row r="917" spans="1:13" hidden="1" x14ac:dyDescent="0.3">
      <c r="A917" t="s">
        <v>17</v>
      </c>
      <c r="B917">
        <v>916</v>
      </c>
      <c r="C917" t="s">
        <v>746</v>
      </c>
      <c r="D917" t="s">
        <v>57</v>
      </c>
      <c r="E917">
        <v>2018</v>
      </c>
      <c r="F917" t="s">
        <v>45</v>
      </c>
      <c r="G917" t="s">
        <v>21</v>
      </c>
      <c r="H917" t="s">
        <v>15</v>
      </c>
      <c r="I917" t="s">
        <v>46</v>
      </c>
      <c r="J917">
        <v>8.1391459999999999E-2</v>
      </c>
      <c r="L917">
        <v>177.83699999999999</v>
      </c>
      <c r="M917">
        <v>4.5</v>
      </c>
    </row>
    <row r="918" spans="1:13" hidden="1" x14ac:dyDescent="0.3">
      <c r="A918" t="s">
        <v>17</v>
      </c>
      <c r="B918">
        <v>917</v>
      </c>
      <c r="C918" t="s">
        <v>747</v>
      </c>
      <c r="D918" t="s">
        <v>67</v>
      </c>
      <c r="E918">
        <v>2018</v>
      </c>
      <c r="F918" t="s">
        <v>45</v>
      </c>
      <c r="G918" t="s">
        <v>21</v>
      </c>
      <c r="H918" t="s">
        <v>15</v>
      </c>
      <c r="I918" t="s">
        <v>46</v>
      </c>
      <c r="J918">
        <v>5.5121891999999999E-2</v>
      </c>
      <c r="L918">
        <v>196.77680000000001</v>
      </c>
      <c r="M918">
        <v>4.5</v>
      </c>
    </row>
    <row r="919" spans="1:13" hidden="1" x14ac:dyDescent="0.3">
      <c r="A919" t="s">
        <v>17</v>
      </c>
      <c r="B919">
        <v>918</v>
      </c>
      <c r="C919" t="s">
        <v>227</v>
      </c>
      <c r="D919" t="s">
        <v>67</v>
      </c>
      <c r="E919">
        <v>2018</v>
      </c>
      <c r="F919" t="s">
        <v>45</v>
      </c>
      <c r="G919" t="s">
        <v>21</v>
      </c>
      <c r="H919" t="s">
        <v>15</v>
      </c>
      <c r="I919" t="s">
        <v>46</v>
      </c>
      <c r="J919">
        <v>5.2097910000000001E-3</v>
      </c>
      <c r="L919">
        <v>265.28840000000002</v>
      </c>
      <c r="M919">
        <v>4.5</v>
      </c>
    </row>
    <row r="920" spans="1:13" hidden="1" x14ac:dyDescent="0.3">
      <c r="A920" t="s">
        <v>17</v>
      </c>
      <c r="B920">
        <v>919</v>
      </c>
      <c r="C920" t="s">
        <v>748</v>
      </c>
      <c r="D920" t="s">
        <v>24</v>
      </c>
      <c r="E920">
        <v>2018</v>
      </c>
      <c r="F920" t="s">
        <v>45</v>
      </c>
      <c r="G920" t="s">
        <v>21</v>
      </c>
      <c r="H920" t="s">
        <v>15</v>
      </c>
      <c r="I920" t="s">
        <v>46</v>
      </c>
      <c r="J920">
        <v>6.5272284E-2</v>
      </c>
      <c r="L920">
        <v>256.16460000000001</v>
      </c>
      <c r="M920">
        <v>4.5</v>
      </c>
    </row>
    <row r="921" spans="1:13" hidden="1" x14ac:dyDescent="0.3">
      <c r="A921" t="s">
        <v>17</v>
      </c>
      <c r="B921">
        <v>920</v>
      </c>
      <c r="C921" t="s">
        <v>749</v>
      </c>
      <c r="D921" t="s">
        <v>24</v>
      </c>
      <c r="E921">
        <v>2018</v>
      </c>
      <c r="F921" t="s">
        <v>45</v>
      </c>
      <c r="G921" t="s">
        <v>21</v>
      </c>
      <c r="H921" t="s">
        <v>15</v>
      </c>
      <c r="I921" t="s">
        <v>46</v>
      </c>
      <c r="J921">
        <v>0</v>
      </c>
      <c r="L921">
        <v>225.30619999999999</v>
      </c>
      <c r="M921">
        <v>4.5</v>
      </c>
    </row>
    <row r="922" spans="1:13" hidden="1" x14ac:dyDescent="0.3">
      <c r="A922" t="s">
        <v>17</v>
      </c>
      <c r="B922">
        <v>921</v>
      </c>
      <c r="C922" t="s">
        <v>750</v>
      </c>
      <c r="D922" t="s">
        <v>24</v>
      </c>
      <c r="E922">
        <v>2018</v>
      </c>
      <c r="F922" t="s">
        <v>45</v>
      </c>
      <c r="G922" t="s">
        <v>21</v>
      </c>
      <c r="H922" t="s">
        <v>15</v>
      </c>
      <c r="I922" t="s">
        <v>46</v>
      </c>
      <c r="J922">
        <v>6.3462047999999993E-2</v>
      </c>
      <c r="L922">
        <v>157.56299999999999</v>
      </c>
      <c r="M922">
        <v>4.5</v>
      </c>
    </row>
    <row r="923" spans="1:13" hidden="1" x14ac:dyDescent="0.3">
      <c r="A923" t="s">
        <v>17</v>
      </c>
      <c r="B923">
        <v>922</v>
      </c>
      <c r="C923" t="s">
        <v>574</v>
      </c>
      <c r="D923" t="s">
        <v>19</v>
      </c>
      <c r="E923">
        <v>2018</v>
      </c>
      <c r="F923" t="s">
        <v>45</v>
      </c>
      <c r="G923" t="s">
        <v>21</v>
      </c>
      <c r="H923" t="s">
        <v>15</v>
      </c>
      <c r="I923" t="s">
        <v>46</v>
      </c>
      <c r="J923">
        <v>7.7079176999999999E-2</v>
      </c>
      <c r="L923">
        <v>61.553600000000003</v>
      </c>
      <c r="M923">
        <v>4.5</v>
      </c>
    </row>
    <row r="924" spans="1:13" hidden="1" x14ac:dyDescent="0.3">
      <c r="A924" t="s">
        <v>17</v>
      </c>
      <c r="B924">
        <v>923</v>
      </c>
      <c r="C924" t="s">
        <v>751</v>
      </c>
      <c r="D924" t="s">
        <v>42</v>
      </c>
      <c r="E924">
        <v>2018</v>
      </c>
      <c r="F924" t="s">
        <v>45</v>
      </c>
      <c r="G924" t="s">
        <v>21</v>
      </c>
      <c r="H924" t="s">
        <v>15</v>
      </c>
      <c r="I924" t="s">
        <v>46</v>
      </c>
      <c r="J924">
        <v>0.14258975099999999</v>
      </c>
      <c r="L924">
        <v>35.918999999999997</v>
      </c>
      <c r="M924">
        <v>4.5</v>
      </c>
    </row>
    <row r="925" spans="1:13" hidden="1" x14ac:dyDescent="0.3">
      <c r="A925" t="s">
        <v>17</v>
      </c>
      <c r="B925">
        <v>924</v>
      </c>
      <c r="C925" t="s">
        <v>378</v>
      </c>
      <c r="D925" t="s">
        <v>42</v>
      </c>
      <c r="E925">
        <v>2018</v>
      </c>
      <c r="F925" t="s">
        <v>45</v>
      </c>
      <c r="G925" t="s">
        <v>21</v>
      </c>
      <c r="H925" t="s">
        <v>15</v>
      </c>
      <c r="I925" t="s">
        <v>46</v>
      </c>
      <c r="J925">
        <v>9.1042210999999998E-2</v>
      </c>
      <c r="L925">
        <v>162.68940000000001</v>
      </c>
      <c r="M925">
        <v>4.5</v>
      </c>
    </row>
    <row r="926" spans="1:13" hidden="1" x14ac:dyDescent="0.3">
      <c r="A926" t="s">
        <v>17</v>
      </c>
      <c r="B926">
        <v>925</v>
      </c>
      <c r="C926" t="s">
        <v>148</v>
      </c>
      <c r="D926" t="s">
        <v>42</v>
      </c>
      <c r="E926">
        <v>2018</v>
      </c>
      <c r="F926" t="s">
        <v>45</v>
      </c>
      <c r="G926" t="s">
        <v>21</v>
      </c>
      <c r="H926" t="s">
        <v>15</v>
      </c>
      <c r="I926" t="s">
        <v>46</v>
      </c>
      <c r="J926">
        <v>5.2247806000000001E-2</v>
      </c>
      <c r="L926">
        <v>190.85300000000001</v>
      </c>
      <c r="M926">
        <v>4.5</v>
      </c>
    </row>
    <row r="927" spans="1:13" hidden="1" x14ac:dyDescent="0.3">
      <c r="A927" t="s">
        <v>17</v>
      </c>
      <c r="B927">
        <v>926</v>
      </c>
      <c r="C927" t="s">
        <v>752</v>
      </c>
      <c r="D927" t="s">
        <v>42</v>
      </c>
      <c r="E927">
        <v>2018</v>
      </c>
      <c r="F927" t="s">
        <v>45</v>
      </c>
      <c r="G927" t="s">
        <v>21</v>
      </c>
      <c r="H927" t="s">
        <v>15</v>
      </c>
      <c r="I927" t="s">
        <v>46</v>
      </c>
      <c r="J927">
        <v>7.2317217000000003E-2</v>
      </c>
      <c r="L927">
        <v>160.792</v>
      </c>
      <c r="M927">
        <v>4.5</v>
      </c>
    </row>
    <row r="928" spans="1:13" hidden="1" x14ac:dyDescent="0.3">
      <c r="A928" t="s">
        <v>17</v>
      </c>
      <c r="B928">
        <v>927</v>
      </c>
      <c r="C928" t="s">
        <v>241</v>
      </c>
      <c r="D928" t="s">
        <v>42</v>
      </c>
      <c r="E928">
        <v>2018</v>
      </c>
      <c r="F928" t="s">
        <v>45</v>
      </c>
      <c r="G928" t="s">
        <v>21</v>
      </c>
      <c r="H928" t="s">
        <v>15</v>
      </c>
      <c r="I928" t="s">
        <v>46</v>
      </c>
      <c r="J928">
        <v>5.911748E-2</v>
      </c>
      <c r="L928">
        <v>181.5976</v>
      </c>
      <c r="M928">
        <v>4.5</v>
      </c>
    </row>
    <row r="929" spans="1:13" hidden="1" x14ac:dyDescent="0.3">
      <c r="A929" t="s">
        <v>17</v>
      </c>
      <c r="B929">
        <v>928</v>
      </c>
      <c r="C929" t="s">
        <v>753</v>
      </c>
      <c r="D929" t="s">
        <v>42</v>
      </c>
      <c r="E929">
        <v>2018</v>
      </c>
      <c r="F929" t="s">
        <v>45</v>
      </c>
      <c r="G929" t="s">
        <v>21</v>
      </c>
      <c r="H929" t="s">
        <v>15</v>
      </c>
      <c r="I929" t="s">
        <v>46</v>
      </c>
      <c r="J929">
        <v>9.370568E-2</v>
      </c>
      <c r="L929">
        <v>253.8698</v>
      </c>
      <c r="M929">
        <v>4.5</v>
      </c>
    </row>
    <row r="930" spans="1:13" hidden="1" x14ac:dyDescent="0.3">
      <c r="A930" t="s">
        <v>17</v>
      </c>
      <c r="B930">
        <v>929</v>
      </c>
      <c r="C930" t="s">
        <v>754</v>
      </c>
      <c r="D930" t="s">
        <v>64</v>
      </c>
      <c r="E930">
        <v>2018</v>
      </c>
      <c r="F930" t="s">
        <v>45</v>
      </c>
      <c r="G930" t="s">
        <v>21</v>
      </c>
      <c r="H930" t="s">
        <v>15</v>
      </c>
      <c r="I930" t="s">
        <v>46</v>
      </c>
      <c r="J930">
        <v>3.1186800000000001E-2</v>
      </c>
      <c r="L930">
        <v>39.548000000000002</v>
      </c>
      <c r="M930">
        <v>4.5</v>
      </c>
    </row>
    <row r="931" spans="1:13" hidden="1" x14ac:dyDescent="0.3">
      <c r="A931" t="s">
        <v>10</v>
      </c>
      <c r="B931">
        <v>930</v>
      </c>
      <c r="C931" t="s">
        <v>755</v>
      </c>
      <c r="D931" t="s">
        <v>95</v>
      </c>
      <c r="E931">
        <v>2018</v>
      </c>
      <c r="F931" t="s">
        <v>45</v>
      </c>
      <c r="G931" t="s">
        <v>21</v>
      </c>
      <c r="H931" t="s">
        <v>15</v>
      </c>
      <c r="I931" t="s">
        <v>46</v>
      </c>
      <c r="J931">
        <v>2.524761E-2</v>
      </c>
      <c r="L931">
        <v>81.993399999999994</v>
      </c>
      <c r="M931">
        <v>4.5</v>
      </c>
    </row>
    <row r="932" spans="1:13" hidden="1" x14ac:dyDescent="0.3">
      <c r="A932" t="s">
        <v>10</v>
      </c>
      <c r="B932">
        <v>931</v>
      </c>
      <c r="C932" t="s">
        <v>725</v>
      </c>
      <c r="D932" t="s">
        <v>28</v>
      </c>
      <c r="E932">
        <v>2018</v>
      </c>
      <c r="F932" t="s">
        <v>45</v>
      </c>
      <c r="G932" t="s">
        <v>21</v>
      </c>
      <c r="H932" t="s">
        <v>15</v>
      </c>
      <c r="I932" t="s">
        <v>46</v>
      </c>
      <c r="J932">
        <v>4.6408928000000002E-2</v>
      </c>
      <c r="L932">
        <v>153.2998</v>
      </c>
      <c r="M932">
        <v>4.5</v>
      </c>
    </row>
    <row r="933" spans="1:13" hidden="1" x14ac:dyDescent="0.3">
      <c r="A933" t="s">
        <v>10</v>
      </c>
      <c r="B933">
        <v>932</v>
      </c>
      <c r="C933" t="s">
        <v>756</v>
      </c>
      <c r="D933" t="s">
        <v>24</v>
      </c>
      <c r="E933">
        <v>2018</v>
      </c>
      <c r="F933" t="s">
        <v>45</v>
      </c>
      <c r="G933" t="s">
        <v>21</v>
      </c>
      <c r="H933" t="s">
        <v>15</v>
      </c>
      <c r="I933" t="s">
        <v>46</v>
      </c>
      <c r="J933">
        <v>7.9954799999999993E-3</v>
      </c>
      <c r="L933">
        <v>78.561800000000005</v>
      </c>
      <c r="M933">
        <v>4.5</v>
      </c>
    </row>
    <row r="934" spans="1:13" hidden="1" x14ac:dyDescent="0.3">
      <c r="A934" t="s">
        <v>10</v>
      </c>
      <c r="B934">
        <v>933</v>
      </c>
      <c r="C934" t="s">
        <v>757</v>
      </c>
      <c r="D934" t="s">
        <v>24</v>
      </c>
      <c r="E934">
        <v>2018</v>
      </c>
      <c r="F934" t="s">
        <v>45</v>
      </c>
      <c r="G934" t="s">
        <v>21</v>
      </c>
      <c r="H934" t="s">
        <v>15</v>
      </c>
      <c r="I934" t="s">
        <v>46</v>
      </c>
      <c r="J934">
        <v>4.1273391E-2</v>
      </c>
      <c r="L934">
        <v>91.680400000000006</v>
      </c>
      <c r="M934">
        <v>4.5</v>
      </c>
    </row>
    <row r="935" spans="1:13" hidden="1" x14ac:dyDescent="0.3">
      <c r="A935" t="s">
        <v>10</v>
      </c>
      <c r="B935">
        <v>934</v>
      </c>
      <c r="C935" t="s">
        <v>758</v>
      </c>
      <c r="D935" t="s">
        <v>24</v>
      </c>
      <c r="E935">
        <v>2018</v>
      </c>
      <c r="F935" t="s">
        <v>45</v>
      </c>
      <c r="G935" t="s">
        <v>21</v>
      </c>
      <c r="H935" t="s">
        <v>15</v>
      </c>
      <c r="I935" t="s">
        <v>46</v>
      </c>
      <c r="J935">
        <v>4.2270751000000002E-2</v>
      </c>
      <c r="L935">
        <v>162.52099999999999</v>
      </c>
      <c r="M935">
        <v>4.5</v>
      </c>
    </row>
    <row r="936" spans="1:13" hidden="1" x14ac:dyDescent="0.3">
      <c r="A936" t="s">
        <v>10</v>
      </c>
      <c r="B936">
        <v>935</v>
      </c>
      <c r="C936" t="s">
        <v>759</v>
      </c>
      <c r="D936" t="s">
        <v>12</v>
      </c>
      <c r="E936">
        <v>2018</v>
      </c>
      <c r="F936" t="s">
        <v>45</v>
      </c>
      <c r="G936" t="s">
        <v>21</v>
      </c>
      <c r="H936" t="s">
        <v>15</v>
      </c>
      <c r="I936" t="s">
        <v>46</v>
      </c>
      <c r="J936">
        <v>2.8842331999999998E-2</v>
      </c>
      <c r="L936">
        <v>81.495999999999995</v>
      </c>
      <c r="M936">
        <v>4.5</v>
      </c>
    </row>
    <row r="937" spans="1:13" hidden="1" x14ac:dyDescent="0.3">
      <c r="A937" t="s">
        <v>10</v>
      </c>
      <c r="B937">
        <v>936</v>
      </c>
      <c r="C937" t="s">
        <v>760</v>
      </c>
      <c r="D937" t="s">
        <v>48</v>
      </c>
      <c r="E937">
        <v>2018</v>
      </c>
      <c r="F937" t="s">
        <v>45</v>
      </c>
      <c r="G937" t="s">
        <v>21</v>
      </c>
      <c r="H937" t="s">
        <v>15</v>
      </c>
      <c r="I937" t="s">
        <v>46</v>
      </c>
      <c r="J937">
        <v>1.3951504E-2</v>
      </c>
      <c r="L937">
        <v>199.9084</v>
      </c>
      <c r="M937">
        <v>4.5</v>
      </c>
    </row>
    <row r="938" spans="1:13" hidden="1" x14ac:dyDescent="0.3">
      <c r="A938" t="s">
        <v>10</v>
      </c>
      <c r="B938">
        <v>937</v>
      </c>
      <c r="C938" t="s">
        <v>761</v>
      </c>
      <c r="D938" t="s">
        <v>32</v>
      </c>
      <c r="E938">
        <v>2018</v>
      </c>
      <c r="F938" t="s">
        <v>45</v>
      </c>
      <c r="G938" t="s">
        <v>21</v>
      </c>
      <c r="H938" t="s">
        <v>15</v>
      </c>
      <c r="I938" t="s">
        <v>46</v>
      </c>
      <c r="J938">
        <v>4.4767031999999998E-2</v>
      </c>
      <c r="L938">
        <v>173.7054</v>
      </c>
      <c r="M938">
        <v>4.5</v>
      </c>
    </row>
    <row r="939" spans="1:13" hidden="1" x14ac:dyDescent="0.3">
      <c r="A939" t="s">
        <v>35</v>
      </c>
      <c r="B939">
        <v>938</v>
      </c>
      <c r="C939" t="s">
        <v>477</v>
      </c>
      <c r="D939" t="s">
        <v>95</v>
      </c>
      <c r="E939">
        <v>2018</v>
      </c>
      <c r="F939" t="s">
        <v>45</v>
      </c>
      <c r="G939" t="s">
        <v>21</v>
      </c>
      <c r="H939" t="s">
        <v>15</v>
      </c>
      <c r="I939" t="s">
        <v>46</v>
      </c>
      <c r="J939">
        <v>3.7315468999999997E-2</v>
      </c>
      <c r="L939">
        <v>50.003399999999999</v>
      </c>
      <c r="M939">
        <v>4.5</v>
      </c>
    </row>
    <row r="940" spans="1:13" hidden="1" x14ac:dyDescent="0.3">
      <c r="A940" t="s">
        <v>35</v>
      </c>
      <c r="B940">
        <v>939</v>
      </c>
      <c r="C940" t="s">
        <v>762</v>
      </c>
      <c r="D940" t="s">
        <v>57</v>
      </c>
      <c r="E940">
        <v>2018</v>
      </c>
      <c r="F940" t="s">
        <v>45</v>
      </c>
      <c r="G940" t="s">
        <v>21</v>
      </c>
      <c r="H940" t="s">
        <v>15</v>
      </c>
      <c r="I940" t="s">
        <v>46</v>
      </c>
      <c r="J940">
        <v>2.4407061000000001E-2</v>
      </c>
      <c r="L940">
        <v>102.33320000000001</v>
      </c>
      <c r="M940">
        <v>4.5</v>
      </c>
    </row>
    <row r="941" spans="1:13" hidden="1" x14ac:dyDescent="0.3">
      <c r="A941" t="s">
        <v>35</v>
      </c>
      <c r="B941">
        <v>940</v>
      </c>
      <c r="C941" t="s">
        <v>763</v>
      </c>
      <c r="D941" t="s">
        <v>19</v>
      </c>
      <c r="E941">
        <v>2018</v>
      </c>
      <c r="F941" t="s">
        <v>45</v>
      </c>
      <c r="G941" t="s">
        <v>21</v>
      </c>
      <c r="H941" t="s">
        <v>15</v>
      </c>
      <c r="I941" t="s">
        <v>46</v>
      </c>
      <c r="J941">
        <v>2.0876485E-2</v>
      </c>
      <c r="L941">
        <v>133.79419999999999</v>
      </c>
      <c r="M941">
        <v>4.5</v>
      </c>
    </row>
    <row r="942" spans="1:13" hidden="1"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hidden="1"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hidden="1"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hidden="1"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hidden="1"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hidden="1"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hidden="1"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hidden="1"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hidden="1"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hidden="1"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hidden="1"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hidden="1"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hidden="1"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hidden="1"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hidden="1"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hidden="1"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hidden="1"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hidden="1"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hidden="1"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hidden="1"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hidden="1"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hidden="1"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hidden="1"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hidden="1"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hidden="1"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hidden="1"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hidden="1"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hidden="1"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hidden="1"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hidden="1"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hidden="1"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hidden="1"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hidden="1"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t="s">
        <v>17</v>
      </c>
      <c r="B1268">
        <v>1267</v>
      </c>
      <c r="C1268" t="s">
        <v>145</v>
      </c>
      <c r="D1268" t="s">
        <v>19</v>
      </c>
      <c r="E1268">
        <v>2018</v>
      </c>
      <c r="F1268" t="s">
        <v>45</v>
      </c>
      <c r="G1268" t="s">
        <v>21</v>
      </c>
      <c r="H1268" t="s">
        <v>15</v>
      </c>
      <c r="I1268" t="s">
        <v>46</v>
      </c>
      <c r="J1268">
        <v>0</v>
      </c>
      <c r="L1268">
        <v>125.173</v>
      </c>
      <c r="M1268">
        <v>4.4000000000000004</v>
      </c>
    </row>
    <row r="1269" spans="1:13" hidden="1"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hidden="1"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hidden="1"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hidden="1"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hidden="1"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hidden="1"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hidden="1"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hidden="1"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hidden="1"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hidden="1"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hidden="1"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hidden="1"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hidden="1"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hidden="1"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hidden="1"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hidden="1"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hidden="1"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hidden="1" x14ac:dyDescent="0.3">
      <c r="A1439" t="s">
        <v>17</v>
      </c>
      <c r="B1439">
        <v>1438</v>
      </c>
      <c r="C1439" t="s">
        <v>632</v>
      </c>
      <c r="D1439" t="s">
        <v>95</v>
      </c>
      <c r="E1439">
        <v>2018</v>
      </c>
      <c r="F1439" t="s">
        <v>138</v>
      </c>
      <c r="G1439" t="s">
        <v>14</v>
      </c>
      <c r="H1439" t="s">
        <v>26</v>
      </c>
      <c r="I1439" t="s">
        <v>40</v>
      </c>
      <c r="J1439">
        <v>0.208987123</v>
      </c>
      <c r="L1439">
        <v>106.0596</v>
      </c>
      <c r="M1439">
        <v>4.3</v>
      </c>
    </row>
    <row r="1440" spans="1:13" hidden="1"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hidden="1"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hidden="1"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hidden="1" x14ac:dyDescent="0.3">
      <c r="A1443" t="s">
        <v>17</v>
      </c>
      <c r="B1443">
        <v>1442</v>
      </c>
      <c r="C1443" t="s">
        <v>1018</v>
      </c>
      <c r="D1443" t="s">
        <v>24</v>
      </c>
      <c r="E1443">
        <v>2018</v>
      </c>
      <c r="F1443" t="s">
        <v>138</v>
      </c>
      <c r="G1443" t="s">
        <v>14</v>
      </c>
      <c r="H1443" t="s">
        <v>26</v>
      </c>
      <c r="I1443" t="s">
        <v>40</v>
      </c>
      <c r="J1443">
        <v>0</v>
      </c>
      <c r="L1443">
        <v>109.9254</v>
      </c>
      <c r="M1443">
        <v>4.3</v>
      </c>
    </row>
    <row r="1444" spans="1:13" hidden="1"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hidden="1"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hidden="1"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hidden="1"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hidden="1" x14ac:dyDescent="0.3">
      <c r="A1448" t="s">
        <v>17</v>
      </c>
      <c r="B1448">
        <v>1447</v>
      </c>
      <c r="C1448" t="s">
        <v>991</v>
      </c>
      <c r="D1448" t="s">
        <v>19</v>
      </c>
      <c r="E1448">
        <v>2018</v>
      </c>
      <c r="F1448" t="s">
        <v>138</v>
      </c>
      <c r="G1448" t="s">
        <v>14</v>
      </c>
      <c r="H1448" t="s">
        <v>26</v>
      </c>
      <c r="I1448" t="s">
        <v>40</v>
      </c>
      <c r="J1448">
        <v>0</v>
      </c>
      <c r="L1448">
        <v>40.347999999999999</v>
      </c>
      <c r="M1448">
        <v>4.3</v>
      </c>
    </row>
    <row r="1449" spans="1:13" hidden="1"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hidden="1"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hidden="1"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hidden="1"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hidden="1"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hidden="1" x14ac:dyDescent="0.3">
      <c r="A1454" t="s">
        <v>17</v>
      </c>
      <c r="B1454">
        <v>1453</v>
      </c>
      <c r="C1454" t="s">
        <v>1023</v>
      </c>
      <c r="D1454" t="s">
        <v>42</v>
      </c>
      <c r="E1454">
        <v>2018</v>
      </c>
      <c r="F1454" t="s">
        <v>138</v>
      </c>
      <c r="G1454" t="s">
        <v>14</v>
      </c>
      <c r="H1454" t="s">
        <v>26</v>
      </c>
      <c r="I1454" t="s">
        <v>40</v>
      </c>
      <c r="J1454">
        <v>0.13027716</v>
      </c>
      <c r="L1454">
        <v>228.001</v>
      </c>
      <c r="M1454">
        <v>4.3</v>
      </c>
    </row>
    <row r="1455" spans="1:13" hidden="1"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hidden="1"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hidden="1"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hidden="1"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hidden="1"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hidden="1"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hidden="1"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hidden="1"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hidden="1" x14ac:dyDescent="0.3">
      <c r="A1463" t="s">
        <v>10</v>
      </c>
      <c r="B1463">
        <v>1462</v>
      </c>
      <c r="C1463" t="s">
        <v>701</v>
      </c>
      <c r="D1463" t="s">
        <v>67</v>
      </c>
      <c r="E1463">
        <v>2018</v>
      </c>
      <c r="F1463" t="s">
        <v>138</v>
      </c>
      <c r="G1463" t="s">
        <v>14</v>
      </c>
      <c r="H1463" t="s">
        <v>26</v>
      </c>
      <c r="I1463" t="s">
        <v>40</v>
      </c>
      <c r="J1463">
        <v>0</v>
      </c>
      <c r="L1463">
        <v>55.9298</v>
      </c>
      <c r="M1463">
        <v>4.3</v>
      </c>
    </row>
    <row r="1464" spans="1:13" hidden="1"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hidden="1"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hidden="1"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hidden="1"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hidden="1"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hidden="1"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hidden="1"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hidden="1" x14ac:dyDescent="0.3">
      <c r="A1471" t="s">
        <v>10</v>
      </c>
      <c r="B1471">
        <v>1470</v>
      </c>
      <c r="C1471" t="s">
        <v>810</v>
      </c>
      <c r="D1471" t="s">
        <v>48</v>
      </c>
      <c r="E1471">
        <v>2018</v>
      </c>
      <c r="F1471" t="s">
        <v>138</v>
      </c>
      <c r="G1471" t="s">
        <v>14</v>
      </c>
      <c r="H1471" t="s">
        <v>26</v>
      </c>
      <c r="I1471" t="s">
        <v>40</v>
      </c>
      <c r="J1471">
        <v>7.8758649E-2</v>
      </c>
      <c r="L1471">
        <v>103.0016</v>
      </c>
      <c r="M1471">
        <v>4.3</v>
      </c>
    </row>
    <row r="1472" spans="1:13" hidden="1"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hidden="1"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hidden="1"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hidden="1" x14ac:dyDescent="0.3">
      <c r="A1913" t="s">
        <v>17</v>
      </c>
      <c r="B1913">
        <v>1912</v>
      </c>
      <c r="C1913" t="s">
        <v>1184</v>
      </c>
      <c r="D1913" t="s">
        <v>12</v>
      </c>
      <c r="E1913">
        <v>2018</v>
      </c>
      <c r="F1913" t="s">
        <v>45</v>
      </c>
      <c r="G1913" t="s">
        <v>21</v>
      </c>
      <c r="H1913" t="s">
        <v>15</v>
      </c>
      <c r="I1913" t="s">
        <v>46</v>
      </c>
      <c r="J1913">
        <v>0</v>
      </c>
      <c r="L1913">
        <v>245.01439999999999</v>
      </c>
      <c r="M1913">
        <v>4.3</v>
      </c>
    </row>
    <row r="1914" spans="1:13" hidden="1"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hidden="1"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hidden="1"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hidden="1"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hidden="1"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hidden="1"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hidden="1"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hidden="1" x14ac:dyDescent="0.3">
      <c r="A1921" t="s">
        <v>17</v>
      </c>
      <c r="B1921">
        <v>1920</v>
      </c>
      <c r="C1921" t="s">
        <v>1188</v>
      </c>
      <c r="D1921" t="s">
        <v>28</v>
      </c>
      <c r="E1921">
        <v>2018</v>
      </c>
      <c r="F1921" t="s">
        <v>45</v>
      </c>
      <c r="G1921" t="s">
        <v>21</v>
      </c>
      <c r="H1921" t="s">
        <v>15</v>
      </c>
      <c r="I1921" t="s">
        <v>46</v>
      </c>
      <c r="J1921">
        <v>0.116762173</v>
      </c>
      <c r="L1921">
        <v>198.9768</v>
      </c>
      <c r="M1921">
        <v>4.3</v>
      </c>
    </row>
    <row r="1922" spans="1:13" hidden="1"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hidden="1" x14ac:dyDescent="0.3">
      <c r="A1923" t="s">
        <v>17</v>
      </c>
      <c r="B1923">
        <v>1922</v>
      </c>
      <c r="C1923" t="s">
        <v>1065</v>
      </c>
      <c r="D1923" t="s">
        <v>67</v>
      </c>
      <c r="E1923">
        <v>2018</v>
      </c>
      <c r="F1923" t="s">
        <v>45</v>
      </c>
      <c r="G1923" t="s">
        <v>21</v>
      </c>
      <c r="H1923" t="s">
        <v>15</v>
      </c>
      <c r="I1923" t="s">
        <v>46</v>
      </c>
      <c r="J1923">
        <v>1.769927E-2</v>
      </c>
      <c r="L1923">
        <v>74.2012</v>
      </c>
      <c r="M1923">
        <v>4.3</v>
      </c>
    </row>
    <row r="1924" spans="1:13" hidden="1"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hidden="1"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hidden="1"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hidden="1" x14ac:dyDescent="0.3">
      <c r="A1927" t="s">
        <v>17</v>
      </c>
      <c r="B1927">
        <v>1926</v>
      </c>
      <c r="C1927" t="s">
        <v>1189</v>
      </c>
      <c r="D1927" t="s">
        <v>24</v>
      </c>
      <c r="E1927">
        <v>2018</v>
      </c>
      <c r="F1927" t="s">
        <v>45</v>
      </c>
      <c r="G1927" t="s">
        <v>21</v>
      </c>
      <c r="H1927" t="s">
        <v>15</v>
      </c>
      <c r="I1927" t="s">
        <v>46</v>
      </c>
      <c r="J1927">
        <v>0</v>
      </c>
      <c r="L1927">
        <v>100.7042</v>
      </c>
      <c r="M1927">
        <v>4.3</v>
      </c>
    </row>
    <row r="1928" spans="1:13" hidden="1"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hidden="1"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hidden="1"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hidden="1" x14ac:dyDescent="0.3">
      <c r="A1931" t="s">
        <v>17</v>
      </c>
      <c r="B1931">
        <v>1930</v>
      </c>
      <c r="C1931" t="s">
        <v>493</v>
      </c>
      <c r="D1931" t="s">
        <v>12</v>
      </c>
      <c r="E1931">
        <v>2018</v>
      </c>
      <c r="F1931" t="s">
        <v>45</v>
      </c>
      <c r="G1931" t="s">
        <v>21</v>
      </c>
      <c r="H1931" t="s">
        <v>15</v>
      </c>
      <c r="I1931" t="s">
        <v>46</v>
      </c>
      <c r="J1931">
        <v>3.5183156E-2</v>
      </c>
      <c r="L1931">
        <v>37.8506</v>
      </c>
      <c r="M1931">
        <v>4.3</v>
      </c>
    </row>
    <row r="1932" spans="1:13" hidden="1" x14ac:dyDescent="0.3">
      <c r="A1932" t="s">
        <v>17</v>
      </c>
      <c r="B1932">
        <v>1931</v>
      </c>
      <c r="C1932" t="s">
        <v>1191</v>
      </c>
      <c r="D1932" t="s">
        <v>12</v>
      </c>
      <c r="E1932">
        <v>2018</v>
      </c>
      <c r="F1932" t="s">
        <v>45</v>
      </c>
      <c r="G1932" t="s">
        <v>21</v>
      </c>
      <c r="H1932" t="s">
        <v>15</v>
      </c>
      <c r="I1932" t="s">
        <v>46</v>
      </c>
      <c r="J1932">
        <v>2.0614212E-2</v>
      </c>
      <c r="L1932">
        <v>126.4046</v>
      </c>
      <c r="M1932">
        <v>4.3</v>
      </c>
    </row>
    <row r="1933" spans="1:13" hidden="1"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hidden="1"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hidden="1"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hidden="1"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hidden="1"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hidden="1" x14ac:dyDescent="0.3">
      <c r="A1938" t="s">
        <v>17</v>
      </c>
      <c r="B1938">
        <v>1937</v>
      </c>
      <c r="C1938" t="s">
        <v>326</v>
      </c>
      <c r="D1938" t="s">
        <v>19</v>
      </c>
      <c r="E1938">
        <v>2018</v>
      </c>
      <c r="F1938" t="s">
        <v>45</v>
      </c>
      <c r="G1938" t="s">
        <v>21</v>
      </c>
      <c r="H1938" t="s">
        <v>15</v>
      </c>
      <c r="I1938" t="s">
        <v>46</v>
      </c>
      <c r="J1938">
        <v>0.116366304</v>
      </c>
      <c r="L1938">
        <v>158.363</v>
      </c>
      <c r="M1938">
        <v>4.3</v>
      </c>
    </row>
    <row r="1939" spans="1:13" hidden="1"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hidden="1"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hidden="1"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hidden="1"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hidden="1"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hidden="1"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hidden="1"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hidden="1"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hidden="1" x14ac:dyDescent="0.3">
      <c r="A1947" t="s">
        <v>17</v>
      </c>
      <c r="B1947">
        <v>1946</v>
      </c>
      <c r="C1947" t="s">
        <v>151</v>
      </c>
      <c r="D1947" t="s">
        <v>54</v>
      </c>
      <c r="E1947">
        <v>2018</v>
      </c>
      <c r="F1947" t="s">
        <v>45</v>
      </c>
      <c r="G1947" t="s">
        <v>21</v>
      </c>
      <c r="H1947" t="s">
        <v>15</v>
      </c>
      <c r="I1947" t="s">
        <v>46</v>
      </c>
      <c r="J1947">
        <v>1.6653022E-2</v>
      </c>
      <c r="L1947">
        <v>139.518</v>
      </c>
      <c r="M1947">
        <v>4.3</v>
      </c>
    </row>
    <row r="1948" spans="1:13" hidden="1"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hidden="1"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hidden="1"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hidden="1"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hidden="1"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hidden="1"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hidden="1"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hidden="1"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hidden="1"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hidden="1"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hidden="1"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hidden="1"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hidden="1"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hidden="1"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hidden="1" x14ac:dyDescent="0.3">
      <c r="A1962" t="s">
        <v>10</v>
      </c>
      <c r="B1962">
        <v>1961</v>
      </c>
      <c r="C1962" t="s">
        <v>936</v>
      </c>
      <c r="D1962" t="s">
        <v>57</v>
      </c>
      <c r="E1962">
        <v>2018</v>
      </c>
      <c r="F1962" t="s">
        <v>45</v>
      </c>
      <c r="G1962" t="s">
        <v>21</v>
      </c>
      <c r="H1962" t="s">
        <v>15</v>
      </c>
      <c r="I1962" t="s">
        <v>46</v>
      </c>
      <c r="J1962">
        <v>4.368089E-2</v>
      </c>
      <c r="L1962">
        <v>110.157</v>
      </c>
      <c r="M1962">
        <v>4.3</v>
      </c>
    </row>
    <row r="1963" spans="1:13" hidden="1"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hidden="1" x14ac:dyDescent="0.3">
      <c r="A1964" t="s">
        <v>10</v>
      </c>
      <c r="B1964">
        <v>1963</v>
      </c>
      <c r="C1964" t="s">
        <v>160</v>
      </c>
      <c r="D1964" t="s">
        <v>28</v>
      </c>
      <c r="E1964">
        <v>2018</v>
      </c>
      <c r="F1964" t="s">
        <v>45</v>
      </c>
      <c r="G1964" t="s">
        <v>21</v>
      </c>
      <c r="H1964" t="s">
        <v>15</v>
      </c>
      <c r="I1964" t="s">
        <v>46</v>
      </c>
      <c r="J1964">
        <v>0</v>
      </c>
      <c r="L1964">
        <v>100.3674</v>
      </c>
      <c r="M1964">
        <v>4.3</v>
      </c>
    </row>
    <row r="1965" spans="1:13" hidden="1"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hidden="1"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hidden="1"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hidden="1"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hidden="1"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hidden="1"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hidden="1"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hidden="1"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hidden="1" x14ac:dyDescent="0.3">
      <c r="A1973" t="s">
        <v>10</v>
      </c>
      <c r="B1973">
        <v>1972</v>
      </c>
      <c r="C1973" t="s">
        <v>1201</v>
      </c>
      <c r="D1973" t="s">
        <v>48</v>
      </c>
      <c r="E1973">
        <v>2018</v>
      </c>
      <c r="F1973" t="s">
        <v>45</v>
      </c>
      <c r="G1973" t="s">
        <v>21</v>
      </c>
      <c r="H1973" t="s">
        <v>15</v>
      </c>
      <c r="I1973" t="s">
        <v>46</v>
      </c>
      <c r="J1973">
        <v>8.7894475E-2</v>
      </c>
      <c r="L1973">
        <v>121.173</v>
      </c>
      <c r="M1973">
        <v>4.3</v>
      </c>
    </row>
    <row r="1974" spans="1:13" hidden="1"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hidden="1"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hidden="1"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hidden="1"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hidden="1"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hidden="1"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hidden="1"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hidden="1"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hidden="1"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hidden="1"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hidden="1"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hidden="1"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hidden="1"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hidden="1"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hidden="1"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hidden="1"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hidden="1" x14ac:dyDescent="0.3">
      <c r="A2127" t="s">
        <v>17</v>
      </c>
      <c r="B2127">
        <v>2126</v>
      </c>
      <c r="C2127" t="s">
        <v>705</v>
      </c>
      <c r="D2127" t="s">
        <v>28</v>
      </c>
      <c r="E2127">
        <v>2018</v>
      </c>
      <c r="F2127" t="s">
        <v>138</v>
      </c>
      <c r="G2127" t="s">
        <v>14</v>
      </c>
      <c r="H2127" t="s">
        <v>26</v>
      </c>
      <c r="I2127" t="s">
        <v>40</v>
      </c>
      <c r="J2127">
        <v>0.137539574</v>
      </c>
      <c r="L2127">
        <v>38.8506</v>
      </c>
      <c r="M2127">
        <v>4.2</v>
      </c>
    </row>
    <row r="2128" spans="1:13" hidden="1" x14ac:dyDescent="0.3">
      <c r="A2128" t="s">
        <v>17</v>
      </c>
      <c r="B2128">
        <v>2127</v>
      </c>
      <c r="C2128" t="s">
        <v>163</v>
      </c>
      <c r="D2128" t="s">
        <v>28</v>
      </c>
      <c r="E2128">
        <v>2018</v>
      </c>
      <c r="F2128" t="s">
        <v>138</v>
      </c>
      <c r="G2128" t="s">
        <v>14</v>
      </c>
      <c r="H2128" t="s">
        <v>26</v>
      </c>
      <c r="I2128" t="s">
        <v>40</v>
      </c>
      <c r="J2128">
        <v>1.8275994E-2</v>
      </c>
      <c r="L2128">
        <v>115.2808</v>
      </c>
      <c r="M2128">
        <v>4.2</v>
      </c>
    </row>
    <row r="2129" spans="1:13" hidden="1" x14ac:dyDescent="0.3">
      <c r="A2129" t="s">
        <v>17</v>
      </c>
      <c r="B2129">
        <v>2128</v>
      </c>
      <c r="C2129" t="s">
        <v>944</v>
      </c>
      <c r="D2129" t="s">
        <v>28</v>
      </c>
      <c r="E2129">
        <v>2018</v>
      </c>
      <c r="F2129" t="s">
        <v>138</v>
      </c>
      <c r="G2129" t="s">
        <v>14</v>
      </c>
      <c r="H2129" t="s">
        <v>26</v>
      </c>
      <c r="I2129" t="s">
        <v>40</v>
      </c>
      <c r="J2129">
        <v>3.1069203E-2</v>
      </c>
      <c r="L2129">
        <v>179.6686</v>
      </c>
      <c r="M2129">
        <v>4.2</v>
      </c>
    </row>
    <row r="2130" spans="1:13" hidden="1"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hidden="1" x14ac:dyDescent="0.3">
      <c r="A2131" t="s">
        <v>17</v>
      </c>
      <c r="B2131">
        <v>2130</v>
      </c>
      <c r="C2131" t="s">
        <v>1144</v>
      </c>
      <c r="D2131" t="s">
        <v>24</v>
      </c>
      <c r="E2131">
        <v>2018</v>
      </c>
      <c r="F2131" t="s">
        <v>138</v>
      </c>
      <c r="G2131" t="s">
        <v>14</v>
      </c>
      <c r="H2131" t="s">
        <v>26</v>
      </c>
      <c r="I2131" t="s">
        <v>40</v>
      </c>
      <c r="J2131">
        <v>0</v>
      </c>
      <c r="L2131">
        <v>98.241</v>
      </c>
      <c r="M2131">
        <v>4.2</v>
      </c>
    </row>
    <row r="2132" spans="1:13" hidden="1"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hidden="1"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hidden="1"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hidden="1"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hidden="1"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hidden="1"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hidden="1"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hidden="1"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hidden="1" x14ac:dyDescent="0.3">
      <c r="A2140" t="s">
        <v>17</v>
      </c>
      <c r="B2140">
        <v>2139</v>
      </c>
      <c r="C2140" t="s">
        <v>281</v>
      </c>
      <c r="D2140" t="s">
        <v>32</v>
      </c>
      <c r="E2140">
        <v>2018</v>
      </c>
      <c r="F2140" t="s">
        <v>138</v>
      </c>
      <c r="G2140" t="s">
        <v>14</v>
      </c>
      <c r="H2140" t="s">
        <v>26</v>
      </c>
      <c r="I2140" t="s">
        <v>40</v>
      </c>
      <c r="J2140">
        <v>0.124448295</v>
      </c>
      <c r="L2140">
        <v>112.0518</v>
      </c>
      <c r="M2140">
        <v>4.2</v>
      </c>
    </row>
    <row r="2141" spans="1:13" hidden="1"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hidden="1"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hidden="1" x14ac:dyDescent="0.3">
      <c r="A2143" t="s">
        <v>10</v>
      </c>
      <c r="B2143">
        <v>2142</v>
      </c>
      <c r="C2143" t="s">
        <v>955</v>
      </c>
      <c r="D2143" t="s">
        <v>67</v>
      </c>
      <c r="E2143">
        <v>2018</v>
      </c>
      <c r="F2143" t="s">
        <v>138</v>
      </c>
      <c r="G2143" t="s">
        <v>14</v>
      </c>
      <c r="H2143" t="s">
        <v>26</v>
      </c>
      <c r="I2143" t="s">
        <v>40</v>
      </c>
      <c r="J2143">
        <v>0.168901843</v>
      </c>
      <c r="L2143">
        <v>43.4086</v>
      </c>
      <c r="M2143">
        <v>4.2</v>
      </c>
    </row>
    <row r="2144" spans="1:13" hidden="1"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hidden="1"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hidden="1"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hidden="1"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hidden="1" x14ac:dyDescent="0.3">
      <c r="A2148" t="s">
        <v>10</v>
      </c>
      <c r="B2148">
        <v>2147</v>
      </c>
      <c r="C2148" t="s">
        <v>399</v>
      </c>
      <c r="D2148" t="s">
        <v>12</v>
      </c>
      <c r="E2148">
        <v>2018</v>
      </c>
      <c r="F2148" t="s">
        <v>138</v>
      </c>
      <c r="G2148" t="s">
        <v>14</v>
      </c>
      <c r="H2148" t="s">
        <v>26</v>
      </c>
      <c r="I2148" t="s">
        <v>40</v>
      </c>
      <c r="J2148">
        <v>0.11173569</v>
      </c>
      <c r="L2148">
        <v>115.9492</v>
      </c>
      <c r="M2148">
        <v>4.2</v>
      </c>
    </row>
    <row r="2149" spans="1:13" hidden="1"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hidden="1"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hidden="1" x14ac:dyDescent="0.3">
      <c r="A2151" t="s">
        <v>10</v>
      </c>
      <c r="B2151">
        <v>2150</v>
      </c>
      <c r="C2151" t="s">
        <v>1209</v>
      </c>
      <c r="D2151" t="s">
        <v>54</v>
      </c>
      <c r="E2151">
        <v>2018</v>
      </c>
      <c r="F2151" t="s">
        <v>138</v>
      </c>
      <c r="G2151" t="s">
        <v>14</v>
      </c>
      <c r="H2151" t="s">
        <v>26</v>
      </c>
      <c r="I2151" t="s">
        <v>40</v>
      </c>
      <c r="J2151">
        <v>0.133279499</v>
      </c>
      <c r="L2151">
        <v>112.6202</v>
      </c>
      <c r="M2151">
        <v>4.2</v>
      </c>
    </row>
    <row r="2152" spans="1:13" hidden="1"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t="s">
        <v>17</v>
      </c>
      <c r="B2595">
        <v>2594</v>
      </c>
      <c r="C2595" t="s">
        <v>199</v>
      </c>
      <c r="D2595" t="s">
        <v>95</v>
      </c>
      <c r="E2595">
        <v>2018</v>
      </c>
      <c r="F2595" t="s">
        <v>45</v>
      </c>
      <c r="G2595" t="s">
        <v>21</v>
      </c>
      <c r="H2595" t="s">
        <v>15</v>
      </c>
      <c r="I2595" t="s">
        <v>46</v>
      </c>
      <c r="J2595">
        <v>0.112718928</v>
      </c>
      <c r="L2595">
        <v>54.2956</v>
      </c>
      <c r="M2595">
        <v>4.2</v>
      </c>
    </row>
    <row r="2596" spans="1:13" hidden="1"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hidden="1"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hidden="1"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hidden="1" x14ac:dyDescent="0.3">
      <c r="A2599" t="s">
        <v>17</v>
      </c>
      <c r="B2599">
        <v>2598</v>
      </c>
      <c r="C2599" t="s">
        <v>632</v>
      </c>
      <c r="D2599" t="s">
        <v>95</v>
      </c>
      <c r="E2599">
        <v>2018</v>
      </c>
      <c r="F2599" t="s">
        <v>45</v>
      </c>
      <c r="G2599" t="s">
        <v>21</v>
      </c>
      <c r="H2599" t="s">
        <v>15</v>
      </c>
      <c r="I2599" t="s">
        <v>46</v>
      </c>
      <c r="J2599">
        <v>0.118783796</v>
      </c>
      <c r="L2599">
        <v>108.5596</v>
      </c>
      <c r="M2599">
        <v>4.2</v>
      </c>
    </row>
    <row r="2600" spans="1:13" hidden="1"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hidden="1"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hidden="1" x14ac:dyDescent="0.3">
      <c r="A2602" t="s">
        <v>17</v>
      </c>
      <c r="B2602">
        <v>2601</v>
      </c>
      <c r="C2602" t="s">
        <v>589</v>
      </c>
      <c r="D2602" t="s">
        <v>67</v>
      </c>
      <c r="E2602">
        <v>2018</v>
      </c>
      <c r="F2602" t="s">
        <v>45</v>
      </c>
      <c r="G2602" t="s">
        <v>21</v>
      </c>
      <c r="H2602" t="s">
        <v>15</v>
      </c>
      <c r="I2602" t="s">
        <v>46</v>
      </c>
      <c r="J2602">
        <v>3.0288215E-2</v>
      </c>
      <c r="L2602">
        <v>256.7672</v>
      </c>
      <c r="M2602">
        <v>4.2</v>
      </c>
    </row>
    <row r="2603" spans="1:13" hidden="1"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hidden="1"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hidden="1" x14ac:dyDescent="0.3">
      <c r="A2605" t="s">
        <v>17</v>
      </c>
      <c r="B2605">
        <v>2604</v>
      </c>
      <c r="C2605" t="s">
        <v>517</v>
      </c>
      <c r="D2605" t="s">
        <v>12</v>
      </c>
      <c r="E2605">
        <v>2018</v>
      </c>
      <c r="F2605" t="s">
        <v>45</v>
      </c>
      <c r="G2605" t="s">
        <v>21</v>
      </c>
      <c r="H2605" t="s">
        <v>15</v>
      </c>
      <c r="I2605" t="s">
        <v>46</v>
      </c>
      <c r="J2605">
        <v>7.5691712999999994E-2</v>
      </c>
      <c r="L2605">
        <v>98.241</v>
      </c>
      <c r="M2605">
        <v>4.2</v>
      </c>
    </row>
    <row r="2606" spans="1:13" hidden="1"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hidden="1"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hidden="1"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hidden="1"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hidden="1"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hidden="1"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hidden="1"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hidden="1" x14ac:dyDescent="0.3">
      <c r="A2614" t="s">
        <v>17</v>
      </c>
      <c r="B2614">
        <v>2613</v>
      </c>
      <c r="C2614" t="s">
        <v>297</v>
      </c>
      <c r="D2614" t="s">
        <v>19</v>
      </c>
      <c r="E2614">
        <v>2018</v>
      </c>
      <c r="F2614" t="s">
        <v>45</v>
      </c>
      <c r="G2614" t="s">
        <v>21</v>
      </c>
      <c r="H2614" t="s">
        <v>15</v>
      </c>
      <c r="I2614" t="s">
        <v>46</v>
      </c>
      <c r="J2614">
        <v>8.9343433E-2</v>
      </c>
      <c r="L2614">
        <v>157.3604</v>
      </c>
      <c r="M2614">
        <v>4.2</v>
      </c>
    </row>
    <row r="2615" spans="1:13" hidden="1"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hidden="1"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hidden="1"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hidden="1"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hidden="1" x14ac:dyDescent="0.3">
      <c r="A2619" t="s">
        <v>17</v>
      </c>
      <c r="B2619">
        <v>2618</v>
      </c>
      <c r="C2619" t="s">
        <v>1115</v>
      </c>
      <c r="D2619" t="s">
        <v>42</v>
      </c>
      <c r="E2619">
        <v>2018</v>
      </c>
      <c r="F2619" t="s">
        <v>45</v>
      </c>
      <c r="G2619" t="s">
        <v>21</v>
      </c>
      <c r="H2619" t="s">
        <v>15</v>
      </c>
      <c r="I2619" t="s">
        <v>46</v>
      </c>
      <c r="J2619">
        <v>0.124110734</v>
      </c>
      <c r="L2619">
        <v>111.7544</v>
      </c>
      <c r="M2619">
        <v>4.2</v>
      </c>
    </row>
    <row r="2620" spans="1:13" hidden="1"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hidden="1"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hidden="1"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hidden="1" x14ac:dyDescent="0.3">
      <c r="A2623" t="s">
        <v>17</v>
      </c>
      <c r="B2623">
        <v>2622</v>
      </c>
      <c r="C2623" t="s">
        <v>1353</v>
      </c>
      <c r="D2623" t="s">
        <v>48</v>
      </c>
      <c r="E2623">
        <v>2018</v>
      </c>
      <c r="F2623" t="s">
        <v>45</v>
      </c>
      <c r="G2623" t="s">
        <v>21</v>
      </c>
      <c r="H2623" t="s">
        <v>15</v>
      </c>
      <c r="I2623" t="s">
        <v>46</v>
      </c>
      <c r="J2623">
        <v>0</v>
      </c>
      <c r="L2623">
        <v>119.8124</v>
      </c>
      <c r="M2623">
        <v>4.2</v>
      </c>
    </row>
    <row r="2624" spans="1:13" hidden="1"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hidden="1"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hidden="1" x14ac:dyDescent="0.3">
      <c r="A2626" t="s">
        <v>17</v>
      </c>
      <c r="B2626">
        <v>2625</v>
      </c>
      <c r="C2626" t="s">
        <v>118</v>
      </c>
      <c r="D2626" t="s">
        <v>48</v>
      </c>
      <c r="E2626">
        <v>2018</v>
      </c>
      <c r="F2626" t="s">
        <v>45</v>
      </c>
      <c r="G2626" t="s">
        <v>21</v>
      </c>
      <c r="H2626" t="s">
        <v>15</v>
      </c>
      <c r="I2626" t="s">
        <v>46</v>
      </c>
      <c r="J2626">
        <v>0</v>
      </c>
      <c r="L2626">
        <v>240.62219999999999</v>
      </c>
      <c r="M2626">
        <v>4.2</v>
      </c>
    </row>
    <row r="2627" spans="1:13" hidden="1"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hidden="1"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hidden="1"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hidden="1" x14ac:dyDescent="0.3">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hidden="1"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hidden="1"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hidden="1"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hidden="1"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hidden="1" x14ac:dyDescent="0.3">
      <c r="A2636" t="s">
        <v>10</v>
      </c>
      <c r="B2636">
        <v>2635</v>
      </c>
      <c r="C2636" t="s">
        <v>1138</v>
      </c>
      <c r="D2636" t="s">
        <v>57</v>
      </c>
      <c r="E2636">
        <v>2018</v>
      </c>
      <c r="F2636" t="s">
        <v>45</v>
      </c>
      <c r="G2636" t="s">
        <v>21</v>
      </c>
      <c r="H2636" t="s">
        <v>15</v>
      </c>
      <c r="I2636" t="s">
        <v>46</v>
      </c>
      <c r="J2636">
        <v>2.923013E-2</v>
      </c>
      <c r="L2636">
        <v>189.4556</v>
      </c>
      <c r="M2636">
        <v>4.2</v>
      </c>
    </row>
    <row r="2637" spans="1:13" hidden="1"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hidden="1"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hidden="1"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hidden="1"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hidden="1"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hidden="1"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hidden="1" x14ac:dyDescent="0.3">
      <c r="A2643" t="s">
        <v>10</v>
      </c>
      <c r="B2643">
        <v>2642</v>
      </c>
      <c r="C2643" t="s">
        <v>1361</v>
      </c>
      <c r="D2643" t="s">
        <v>24</v>
      </c>
      <c r="E2643">
        <v>2018</v>
      </c>
      <c r="F2643" t="s">
        <v>45</v>
      </c>
      <c r="G2643" t="s">
        <v>21</v>
      </c>
      <c r="H2643" t="s">
        <v>15</v>
      </c>
      <c r="I2643" t="s">
        <v>46</v>
      </c>
      <c r="J2643">
        <v>0</v>
      </c>
      <c r="L2643">
        <v>130.53100000000001</v>
      </c>
      <c r="M2643">
        <v>4.2</v>
      </c>
    </row>
    <row r="2644" spans="1:13" hidden="1"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hidden="1"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hidden="1" x14ac:dyDescent="0.3">
      <c r="A2646" t="s">
        <v>10</v>
      </c>
      <c r="B2646">
        <v>2645</v>
      </c>
      <c r="C2646" t="s">
        <v>614</v>
      </c>
      <c r="D2646" t="s">
        <v>48</v>
      </c>
      <c r="E2646">
        <v>2018</v>
      </c>
      <c r="F2646" t="s">
        <v>45</v>
      </c>
      <c r="G2646" t="s">
        <v>21</v>
      </c>
      <c r="H2646" t="s">
        <v>15</v>
      </c>
      <c r="I2646" t="s">
        <v>46</v>
      </c>
      <c r="J2646">
        <v>8.9512542E-2</v>
      </c>
      <c r="L2646">
        <v>133.1626</v>
      </c>
      <c r="M2646">
        <v>4.2</v>
      </c>
    </row>
    <row r="2647" spans="1:13" hidden="1" x14ac:dyDescent="0.3">
      <c r="A2647" t="s">
        <v>10</v>
      </c>
      <c r="B2647">
        <v>2646</v>
      </c>
      <c r="C2647" t="s">
        <v>319</v>
      </c>
      <c r="D2647" t="s">
        <v>48</v>
      </c>
      <c r="E2647">
        <v>2018</v>
      </c>
      <c r="F2647" t="s">
        <v>45</v>
      </c>
      <c r="G2647" t="s">
        <v>21</v>
      </c>
      <c r="H2647" t="s">
        <v>15</v>
      </c>
      <c r="I2647" t="s">
        <v>46</v>
      </c>
      <c r="J2647">
        <v>0.104786172</v>
      </c>
      <c r="L2647">
        <v>172.2764</v>
      </c>
      <c r="M2647">
        <v>4.2</v>
      </c>
    </row>
    <row r="2648" spans="1:13" hidden="1"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hidden="1"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hidden="1"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hidden="1"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hidden="1"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hidden="1"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hidden="1"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hidden="1"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hidden="1"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hidden="1"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hidden="1"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hidden="1"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hidden="1"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hidden="1"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hidden="1"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hidden="1"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hidden="1"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hidden="1"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hidden="1"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hidden="1"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hidden="1"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hidden="1"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hidden="1"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hidden="1"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hidden="1"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hidden="1"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hidden="1"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hidden="1"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hidden="1"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hidden="1"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hidden="1"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hidden="1"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hidden="1"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hidden="1"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hidden="1"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hidden="1"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hidden="1"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hidden="1"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hidden="1"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hidden="1"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hidden="1"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hidden="1"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hidden="1"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hidden="1"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hidden="1"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hidden="1"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hidden="1"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hidden="1"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hidden="1"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hidden="1"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t="s">
        <v>10</v>
      </c>
      <c r="B3172">
        <v>3171</v>
      </c>
      <c r="C3172" t="s">
        <v>1437</v>
      </c>
      <c r="D3172" t="s">
        <v>159</v>
      </c>
      <c r="E3172">
        <v>2018</v>
      </c>
      <c r="F3172" t="s">
        <v>45</v>
      </c>
      <c r="G3172" t="s">
        <v>21</v>
      </c>
      <c r="H3172" t="s">
        <v>15</v>
      </c>
      <c r="I3172" t="s">
        <v>46</v>
      </c>
      <c r="J3172">
        <v>0</v>
      </c>
      <c r="L3172">
        <v>59.8904</v>
      </c>
      <c r="M3172">
        <v>4.0999999999999996</v>
      </c>
    </row>
    <row r="3173" spans="1:13" hidden="1"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hidden="1"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hidden="1"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hidden="1"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hidden="1"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hidden="1"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hidden="1"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hidden="1"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hidden="1"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hidden="1"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hidden="1"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hidden="1"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hidden="1"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hidden="1"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hidden="1" x14ac:dyDescent="0.3">
      <c r="A3317" t="s">
        <v>17</v>
      </c>
      <c r="B3317">
        <v>3316</v>
      </c>
      <c r="C3317" t="s">
        <v>1455</v>
      </c>
      <c r="D3317" t="s">
        <v>74</v>
      </c>
      <c r="E3317">
        <v>2018</v>
      </c>
      <c r="F3317" t="s">
        <v>138</v>
      </c>
      <c r="G3317" t="s">
        <v>14</v>
      </c>
      <c r="H3317" t="s">
        <v>26</v>
      </c>
      <c r="I3317" t="s">
        <v>40</v>
      </c>
      <c r="J3317">
        <v>0.106907604</v>
      </c>
      <c r="L3317">
        <v>162.8526</v>
      </c>
      <c r="M3317">
        <v>4</v>
      </c>
    </row>
    <row r="3318" spans="1:13" hidden="1"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hidden="1"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hidden="1"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hidden="1" x14ac:dyDescent="0.3">
      <c r="A3321" t="s">
        <v>17</v>
      </c>
      <c r="B3321">
        <v>3320</v>
      </c>
      <c r="C3321" t="s">
        <v>1277</v>
      </c>
      <c r="D3321" t="s">
        <v>67</v>
      </c>
      <c r="E3321">
        <v>2018</v>
      </c>
      <c r="F3321" t="s">
        <v>138</v>
      </c>
      <c r="G3321" t="s">
        <v>14</v>
      </c>
      <c r="H3321" t="s">
        <v>26</v>
      </c>
      <c r="I3321" t="s">
        <v>40</v>
      </c>
      <c r="J3321">
        <v>0.122832172</v>
      </c>
      <c r="L3321">
        <v>217.685</v>
      </c>
      <c r="M3321">
        <v>4</v>
      </c>
    </row>
    <row r="3322" spans="1:13" hidden="1"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hidden="1"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hidden="1"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hidden="1" x14ac:dyDescent="0.3">
      <c r="A3325" t="s">
        <v>17</v>
      </c>
      <c r="B3325">
        <v>3324</v>
      </c>
      <c r="C3325" t="s">
        <v>51</v>
      </c>
      <c r="D3325" t="s">
        <v>12</v>
      </c>
      <c r="E3325">
        <v>2018</v>
      </c>
      <c r="F3325" t="s">
        <v>138</v>
      </c>
      <c r="G3325" t="s">
        <v>14</v>
      </c>
      <c r="H3325" t="s">
        <v>26</v>
      </c>
      <c r="I3325" t="s">
        <v>40</v>
      </c>
      <c r="J3325">
        <v>0.22483730800000001</v>
      </c>
      <c r="L3325">
        <v>112.7886</v>
      </c>
      <c r="M3325">
        <v>4</v>
      </c>
    </row>
    <row r="3326" spans="1:13" hidden="1"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hidden="1"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hidden="1"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hidden="1"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hidden="1"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hidden="1"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hidden="1"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hidden="1"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hidden="1"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hidden="1"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hidden="1"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hidden="1"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hidden="1"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hidden="1"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hidden="1" x14ac:dyDescent="0.3">
      <c r="A3340" t="s">
        <v>10</v>
      </c>
      <c r="B3340">
        <v>3339</v>
      </c>
      <c r="C3340" t="s">
        <v>1458</v>
      </c>
      <c r="D3340" t="s">
        <v>28</v>
      </c>
      <c r="E3340">
        <v>2018</v>
      </c>
      <c r="F3340" t="s">
        <v>138</v>
      </c>
      <c r="G3340" t="s">
        <v>14</v>
      </c>
      <c r="H3340" t="s">
        <v>26</v>
      </c>
      <c r="I3340" t="s">
        <v>40</v>
      </c>
      <c r="J3340">
        <v>0</v>
      </c>
      <c r="L3340">
        <v>169.87899999999999</v>
      </c>
      <c r="M3340">
        <v>4</v>
      </c>
    </row>
    <row r="3341" spans="1:13" hidden="1"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hidden="1"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hidden="1"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hidden="1"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hidden="1" x14ac:dyDescent="0.3">
      <c r="A3345" t="s">
        <v>10</v>
      </c>
      <c r="B3345">
        <v>3344</v>
      </c>
      <c r="C3345" t="s">
        <v>1426</v>
      </c>
      <c r="D3345" t="s">
        <v>12</v>
      </c>
      <c r="E3345">
        <v>2018</v>
      </c>
      <c r="F3345" t="s">
        <v>138</v>
      </c>
      <c r="G3345" t="s">
        <v>14</v>
      </c>
      <c r="H3345" t="s">
        <v>26</v>
      </c>
      <c r="I3345" t="s">
        <v>40</v>
      </c>
      <c r="J3345">
        <v>0.214139786</v>
      </c>
      <c r="L3345">
        <v>102.4016</v>
      </c>
      <c r="M3345">
        <v>4</v>
      </c>
    </row>
    <row r="3346" spans="1:13" hidden="1" x14ac:dyDescent="0.3">
      <c r="A3346" t="s">
        <v>10</v>
      </c>
      <c r="B3346">
        <v>3345</v>
      </c>
      <c r="C3346" t="s">
        <v>606</v>
      </c>
      <c r="D3346" t="s">
        <v>12</v>
      </c>
      <c r="E3346">
        <v>2018</v>
      </c>
      <c r="F3346" t="s">
        <v>138</v>
      </c>
      <c r="G3346" t="s">
        <v>14</v>
      </c>
      <c r="H3346" t="s">
        <v>26</v>
      </c>
      <c r="I3346" t="s">
        <v>40</v>
      </c>
      <c r="J3346">
        <v>0</v>
      </c>
      <c r="L3346">
        <v>178.5318</v>
      </c>
      <c r="M3346">
        <v>4</v>
      </c>
    </row>
    <row r="3347" spans="1:13" hidden="1"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hidden="1"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hidden="1"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hidden="1" x14ac:dyDescent="0.3">
      <c r="A3350" t="s">
        <v>35</v>
      </c>
      <c r="B3350">
        <v>3349</v>
      </c>
      <c r="C3350" t="s">
        <v>694</v>
      </c>
      <c r="D3350" t="s">
        <v>42</v>
      </c>
      <c r="E3350">
        <v>2018</v>
      </c>
      <c r="F3350" t="s">
        <v>138</v>
      </c>
      <c r="G3350" t="s">
        <v>14</v>
      </c>
      <c r="H3350" t="s">
        <v>26</v>
      </c>
      <c r="I3350" t="s">
        <v>40</v>
      </c>
      <c r="J3350">
        <v>2.4992442E-2</v>
      </c>
      <c r="L3350">
        <v>53.6614</v>
      </c>
      <c r="M3350">
        <v>4</v>
      </c>
    </row>
    <row r="3351" spans="1:13" hidden="1"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hidden="1"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hidden="1"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hidden="1"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hidden="1"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hidden="1"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hidden="1"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hidden="1"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hidden="1"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hidden="1" x14ac:dyDescent="0.3">
      <c r="A3774" t="s">
        <v>17</v>
      </c>
      <c r="B3774">
        <v>3773</v>
      </c>
      <c r="C3774" t="s">
        <v>704</v>
      </c>
      <c r="D3774" t="s">
        <v>57</v>
      </c>
      <c r="E3774">
        <v>2018</v>
      </c>
      <c r="F3774" t="s">
        <v>45</v>
      </c>
      <c r="G3774" t="s">
        <v>21</v>
      </c>
      <c r="H3774" t="s">
        <v>15</v>
      </c>
      <c r="I3774" t="s">
        <v>46</v>
      </c>
      <c r="J3774">
        <v>7.8831762E-2</v>
      </c>
      <c r="L3774">
        <v>98.97</v>
      </c>
      <c r="M3774">
        <v>4</v>
      </c>
    </row>
    <row r="3775" spans="1:13" hidden="1"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hidden="1"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hidden="1"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hidden="1"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hidden="1"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hidden="1"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hidden="1" x14ac:dyDescent="0.3">
      <c r="A3781" t="s">
        <v>17</v>
      </c>
      <c r="B3781">
        <v>3780</v>
      </c>
      <c r="C3781" t="s">
        <v>547</v>
      </c>
      <c r="D3781" t="s">
        <v>24</v>
      </c>
      <c r="E3781">
        <v>2018</v>
      </c>
      <c r="F3781" t="s">
        <v>45</v>
      </c>
      <c r="G3781" t="s">
        <v>21</v>
      </c>
      <c r="H3781" t="s">
        <v>15</v>
      </c>
      <c r="I3781" t="s">
        <v>46</v>
      </c>
      <c r="J3781">
        <v>6.5313023999999997E-2</v>
      </c>
      <c r="L3781">
        <v>47.1402</v>
      </c>
      <c r="M3781">
        <v>4</v>
      </c>
    </row>
    <row r="3782" spans="1:13" hidden="1"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hidden="1"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hidden="1" x14ac:dyDescent="0.3">
      <c r="A3784" t="s">
        <v>17</v>
      </c>
      <c r="B3784">
        <v>3783</v>
      </c>
      <c r="C3784" t="s">
        <v>169</v>
      </c>
      <c r="D3784" t="s">
        <v>12</v>
      </c>
      <c r="E3784">
        <v>2018</v>
      </c>
      <c r="F3784" t="s">
        <v>45</v>
      </c>
      <c r="G3784" t="s">
        <v>21</v>
      </c>
      <c r="H3784" t="s">
        <v>15</v>
      </c>
      <c r="I3784" t="s">
        <v>46</v>
      </c>
      <c r="J3784">
        <v>0</v>
      </c>
      <c r="L3784">
        <v>253.03559999999999</v>
      </c>
      <c r="M3784">
        <v>4</v>
      </c>
    </row>
    <row r="3785" spans="1:13" hidden="1"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hidden="1"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hidden="1"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hidden="1" x14ac:dyDescent="0.3">
      <c r="A3788" t="s">
        <v>17</v>
      </c>
      <c r="B3788">
        <v>3787</v>
      </c>
      <c r="C3788" t="s">
        <v>91</v>
      </c>
      <c r="D3788" t="s">
        <v>42</v>
      </c>
      <c r="E3788">
        <v>2018</v>
      </c>
      <c r="F3788" t="s">
        <v>45</v>
      </c>
      <c r="G3788" t="s">
        <v>21</v>
      </c>
      <c r="H3788" t="s">
        <v>15</v>
      </c>
      <c r="I3788" t="s">
        <v>46</v>
      </c>
      <c r="J3788">
        <v>4.8703431999999998E-2</v>
      </c>
      <c r="L3788">
        <v>125.9336</v>
      </c>
      <c r="M3788">
        <v>4</v>
      </c>
    </row>
    <row r="3789" spans="1:13" hidden="1"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hidden="1"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hidden="1"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hidden="1"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hidden="1" x14ac:dyDescent="0.3">
      <c r="A3793" t="s">
        <v>17</v>
      </c>
      <c r="B3793">
        <v>3792</v>
      </c>
      <c r="C3793" t="s">
        <v>932</v>
      </c>
      <c r="D3793" t="s">
        <v>48</v>
      </c>
      <c r="E3793">
        <v>2018</v>
      </c>
      <c r="F3793" t="s">
        <v>45</v>
      </c>
      <c r="G3793" t="s">
        <v>21</v>
      </c>
      <c r="H3793" t="s">
        <v>15</v>
      </c>
      <c r="I3793" t="s">
        <v>46</v>
      </c>
      <c r="J3793">
        <v>0</v>
      </c>
      <c r="L3793">
        <v>45.742800000000003</v>
      </c>
      <c r="M3793">
        <v>4</v>
      </c>
    </row>
    <row r="3794" spans="1:13" hidden="1"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hidden="1" x14ac:dyDescent="0.3">
      <c r="A3795" t="s">
        <v>17</v>
      </c>
      <c r="B3795">
        <v>3794</v>
      </c>
      <c r="C3795" t="s">
        <v>625</v>
      </c>
      <c r="D3795" t="s">
        <v>48</v>
      </c>
      <c r="E3795">
        <v>2018</v>
      </c>
      <c r="F3795" t="s">
        <v>45</v>
      </c>
      <c r="G3795" t="s">
        <v>21</v>
      </c>
      <c r="H3795" t="s">
        <v>15</v>
      </c>
      <c r="I3795" t="s">
        <v>46</v>
      </c>
      <c r="J3795">
        <v>2.9793955E-2</v>
      </c>
      <c r="L3795">
        <v>167.2816</v>
      </c>
      <c r="M3795">
        <v>4</v>
      </c>
    </row>
    <row r="3796" spans="1:13" hidden="1" x14ac:dyDescent="0.3">
      <c r="A3796" t="s">
        <v>17</v>
      </c>
      <c r="B3796">
        <v>3795</v>
      </c>
      <c r="C3796" t="s">
        <v>916</v>
      </c>
      <c r="D3796" t="s">
        <v>48</v>
      </c>
      <c r="E3796">
        <v>2018</v>
      </c>
      <c r="F3796" t="s">
        <v>45</v>
      </c>
      <c r="G3796" t="s">
        <v>21</v>
      </c>
      <c r="H3796" t="s">
        <v>15</v>
      </c>
      <c r="I3796" t="s">
        <v>46</v>
      </c>
      <c r="J3796">
        <v>0</v>
      </c>
      <c r="L3796">
        <v>248.8092</v>
      </c>
      <c r="M3796">
        <v>4</v>
      </c>
    </row>
    <row r="3797" spans="1:13" hidden="1"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hidden="1" x14ac:dyDescent="0.3">
      <c r="A3798" t="s">
        <v>17</v>
      </c>
      <c r="B3798">
        <v>3797</v>
      </c>
      <c r="C3798" t="s">
        <v>1267</v>
      </c>
      <c r="D3798" t="s">
        <v>32</v>
      </c>
      <c r="E3798">
        <v>2018</v>
      </c>
      <c r="F3798" t="s">
        <v>45</v>
      </c>
      <c r="G3798" t="s">
        <v>21</v>
      </c>
      <c r="H3798" t="s">
        <v>15</v>
      </c>
      <c r="I3798" t="s">
        <v>46</v>
      </c>
      <c r="J3798">
        <v>0</v>
      </c>
      <c r="L3798">
        <v>121.044</v>
      </c>
      <c r="M3798">
        <v>4</v>
      </c>
    </row>
    <row r="3799" spans="1:13" hidden="1"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hidden="1"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hidden="1"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hidden="1"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hidden="1"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hidden="1" x14ac:dyDescent="0.3">
      <c r="A3804" t="s">
        <v>10</v>
      </c>
      <c r="B3804">
        <v>3803</v>
      </c>
      <c r="C3804" t="s">
        <v>978</v>
      </c>
      <c r="D3804" t="s">
        <v>67</v>
      </c>
      <c r="E3804">
        <v>2018</v>
      </c>
      <c r="F3804" t="s">
        <v>45</v>
      </c>
      <c r="G3804" t="s">
        <v>21</v>
      </c>
      <c r="H3804" t="s">
        <v>15</v>
      </c>
      <c r="I3804" t="s">
        <v>46</v>
      </c>
      <c r="J3804">
        <v>2.2403117E-2</v>
      </c>
      <c r="L3804">
        <v>250.9092</v>
      </c>
      <c r="M3804">
        <v>4</v>
      </c>
    </row>
    <row r="3805" spans="1:13" hidden="1"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hidden="1"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hidden="1"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hidden="1" x14ac:dyDescent="0.3">
      <c r="A3808" t="s">
        <v>10</v>
      </c>
      <c r="B3808">
        <v>3807</v>
      </c>
      <c r="C3808" t="s">
        <v>529</v>
      </c>
      <c r="D3808" t="s">
        <v>24</v>
      </c>
      <c r="E3808">
        <v>2018</v>
      </c>
      <c r="F3808" t="s">
        <v>45</v>
      </c>
      <c r="G3808" t="s">
        <v>21</v>
      </c>
      <c r="H3808" t="s">
        <v>15</v>
      </c>
      <c r="I3808" t="s">
        <v>46</v>
      </c>
      <c r="J3808">
        <v>0.14928877900000001</v>
      </c>
      <c r="L3808">
        <v>158.4288</v>
      </c>
      <c r="M3808">
        <v>4</v>
      </c>
    </row>
    <row r="3809" spans="1:13" hidden="1"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hidden="1"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hidden="1"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hidden="1" x14ac:dyDescent="0.3">
      <c r="A3812" t="s">
        <v>10</v>
      </c>
      <c r="B3812">
        <v>3811</v>
      </c>
      <c r="C3812" t="s">
        <v>1426</v>
      </c>
      <c r="D3812" t="s">
        <v>12</v>
      </c>
      <c r="E3812">
        <v>2018</v>
      </c>
      <c r="F3812" t="s">
        <v>45</v>
      </c>
      <c r="G3812" t="s">
        <v>21</v>
      </c>
      <c r="H3812" t="s">
        <v>15</v>
      </c>
      <c r="I3812" t="s">
        <v>46</v>
      </c>
      <c r="J3812">
        <v>0.121712459</v>
      </c>
      <c r="L3812">
        <v>101.2016</v>
      </c>
      <c r="M3812">
        <v>4</v>
      </c>
    </row>
    <row r="3813" spans="1:13" hidden="1"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hidden="1"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hidden="1"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hidden="1"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hidden="1" x14ac:dyDescent="0.3">
      <c r="A3817" t="s">
        <v>10</v>
      </c>
      <c r="B3817">
        <v>3816</v>
      </c>
      <c r="C3817" t="s">
        <v>1012</v>
      </c>
      <c r="D3817" t="s">
        <v>12</v>
      </c>
      <c r="E3817">
        <v>2018</v>
      </c>
      <c r="F3817" t="s">
        <v>45</v>
      </c>
      <c r="G3817" t="s">
        <v>21</v>
      </c>
      <c r="H3817" t="s">
        <v>15</v>
      </c>
      <c r="I3817" t="s">
        <v>46</v>
      </c>
      <c r="J3817">
        <v>0.112668963</v>
      </c>
      <c r="L3817">
        <v>191.0504</v>
      </c>
      <c r="M3817">
        <v>4</v>
      </c>
    </row>
    <row r="3818" spans="1:13" hidden="1"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hidden="1"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hidden="1"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hidden="1"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hidden="1"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hidden="1"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hidden="1"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hidden="1"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hidden="1"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hidden="1"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hidden="1"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hidden="1"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hidden="1"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hidden="1"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hidden="1" x14ac:dyDescent="0.3">
      <c r="A3896" t="s">
        <v>17</v>
      </c>
      <c r="B3896">
        <v>3895</v>
      </c>
      <c r="C3896" t="s">
        <v>1292</v>
      </c>
      <c r="D3896" t="s">
        <v>32</v>
      </c>
      <c r="E3896">
        <v>2018</v>
      </c>
      <c r="F3896" t="s">
        <v>138</v>
      </c>
      <c r="G3896" t="s">
        <v>14</v>
      </c>
      <c r="H3896" t="s">
        <v>26</v>
      </c>
      <c r="I3896" t="s">
        <v>40</v>
      </c>
      <c r="J3896">
        <v>0.168780127</v>
      </c>
      <c r="L3896">
        <v>197.8768</v>
      </c>
      <c r="M3896">
        <v>3.9</v>
      </c>
    </row>
    <row r="3897" spans="1:13" hidden="1"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hidden="1"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hidden="1"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hidden="1" x14ac:dyDescent="0.3">
      <c r="A3900" t="s">
        <v>17</v>
      </c>
      <c r="B3900">
        <v>3899</v>
      </c>
      <c r="C3900" t="s">
        <v>1524</v>
      </c>
      <c r="D3900" t="s">
        <v>12</v>
      </c>
      <c r="E3900">
        <v>2018</v>
      </c>
      <c r="F3900" t="s">
        <v>138</v>
      </c>
      <c r="G3900" t="s">
        <v>14</v>
      </c>
      <c r="H3900" t="s">
        <v>26</v>
      </c>
      <c r="I3900" t="s">
        <v>40</v>
      </c>
      <c r="J3900">
        <v>0</v>
      </c>
      <c r="L3900">
        <v>126.6994</v>
      </c>
      <c r="M3900">
        <v>3.9</v>
      </c>
    </row>
    <row r="3901" spans="1:13" hidden="1"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hidden="1"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hidden="1"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hidden="1"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hidden="1"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hidden="1"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hidden="1" x14ac:dyDescent="0.3">
      <c r="A3907" t="s">
        <v>17</v>
      </c>
      <c r="B3907">
        <v>3906</v>
      </c>
      <c r="C3907" t="s">
        <v>435</v>
      </c>
      <c r="D3907" t="s">
        <v>42</v>
      </c>
      <c r="E3907">
        <v>2018</v>
      </c>
      <c r="F3907" t="s">
        <v>138</v>
      </c>
      <c r="G3907" t="s">
        <v>14</v>
      </c>
      <c r="H3907" t="s">
        <v>26</v>
      </c>
      <c r="I3907" t="s">
        <v>40</v>
      </c>
      <c r="J3907">
        <v>2.8207784E-2</v>
      </c>
      <c r="L3907">
        <v>195.5478</v>
      </c>
      <c r="M3907">
        <v>3.9</v>
      </c>
    </row>
    <row r="3908" spans="1:13" hidden="1" x14ac:dyDescent="0.3">
      <c r="A3908" t="s">
        <v>17</v>
      </c>
      <c r="B3908">
        <v>3907</v>
      </c>
      <c r="C3908" t="s">
        <v>114</v>
      </c>
      <c r="D3908" t="s">
        <v>42</v>
      </c>
      <c r="E3908">
        <v>2018</v>
      </c>
      <c r="F3908" t="s">
        <v>138</v>
      </c>
      <c r="G3908" t="s">
        <v>14</v>
      </c>
      <c r="H3908" t="s">
        <v>26</v>
      </c>
      <c r="I3908" t="s">
        <v>40</v>
      </c>
      <c r="J3908">
        <v>0.19875618</v>
      </c>
      <c r="L3908">
        <v>250.7724</v>
      </c>
      <c r="M3908">
        <v>3.9</v>
      </c>
    </row>
    <row r="3909" spans="1:13" hidden="1" x14ac:dyDescent="0.3">
      <c r="A3909" t="s">
        <v>17</v>
      </c>
      <c r="B3909">
        <v>3908</v>
      </c>
      <c r="C3909" t="s">
        <v>1318</v>
      </c>
      <c r="D3909" t="s">
        <v>64</v>
      </c>
      <c r="E3909">
        <v>2018</v>
      </c>
      <c r="F3909" t="s">
        <v>138</v>
      </c>
      <c r="G3909" t="s">
        <v>14</v>
      </c>
      <c r="H3909" t="s">
        <v>26</v>
      </c>
      <c r="I3909" t="s">
        <v>40</v>
      </c>
      <c r="J3909">
        <v>0.159394437</v>
      </c>
      <c r="L3909">
        <v>105.6938</v>
      </c>
      <c r="M3909">
        <v>3.9</v>
      </c>
    </row>
    <row r="3910" spans="1:13" hidden="1"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hidden="1" x14ac:dyDescent="0.3">
      <c r="A3911" t="s">
        <v>10</v>
      </c>
      <c r="B3911">
        <v>3910</v>
      </c>
      <c r="C3911" t="s">
        <v>1414</v>
      </c>
      <c r="D3911" t="s">
        <v>67</v>
      </c>
      <c r="E3911">
        <v>2018</v>
      </c>
      <c r="F3911" t="s">
        <v>138</v>
      </c>
      <c r="G3911" t="s">
        <v>14</v>
      </c>
      <c r="H3911" t="s">
        <v>26</v>
      </c>
      <c r="I3911" t="s">
        <v>40</v>
      </c>
      <c r="J3911">
        <v>1.4497036E-2</v>
      </c>
      <c r="L3911">
        <v>150.8708</v>
      </c>
      <c r="M3911">
        <v>3.9</v>
      </c>
    </row>
    <row r="3912" spans="1:13" hidden="1"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hidden="1"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hidden="1"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hidden="1"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hidden="1"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hidden="1"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hidden="1"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hidden="1"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hidden="1"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hidden="1"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hidden="1" x14ac:dyDescent="0.3">
      <c r="A4110" t="s">
        <v>17</v>
      </c>
      <c r="B4110">
        <v>4109</v>
      </c>
      <c r="C4110" t="s">
        <v>81</v>
      </c>
      <c r="D4110" t="s">
        <v>12</v>
      </c>
      <c r="E4110">
        <v>2018</v>
      </c>
      <c r="F4110" t="s">
        <v>45</v>
      </c>
      <c r="G4110" t="s">
        <v>21</v>
      </c>
      <c r="H4110" t="s">
        <v>15</v>
      </c>
      <c r="I4110" t="s">
        <v>46</v>
      </c>
      <c r="J4110">
        <v>0</v>
      </c>
      <c r="L4110">
        <v>45.940199999999997</v>
      </c>
      <c r="M4110">
        <v>3.9</v>
      </c>
    </row>
    <row r="4111" spans="1:13" hidden="1"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hidden="1"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hidden="1"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hidden="1"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hidden="1"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hidden="1" x14ac:dyDescent="0.3">
      <c r="A4116" t="s">
        <v>17</v>
      </c>
      <c r="B4116">
        <v>4115</v>
      </c>
      <c r="C4116" t="s">
        <v>1477</v>
      </c>
      <c r="D4116" t="s">
        <v>42</v>
      </c>
      <c r="E4116">
        <v>2018</v>
      </c>
      <c r="F4116" t="s">
        <v>45</v>
      </c>
      <c r="G4116" t="s">
        <v>21</v>
      </c>
      <c r="H4116" t="s">
        <v>15</v>
      </c>
      <c r="I4116" t="s">
        <v>46</v>
      </c>
      <c r="J4116">
        <v>0.134418705</v>
      </c>
      <c r="L4116">
        <v>99.67</v>
      </c>
      <c r="M4116">
        <v>3.9</v>
      </c>
    </row>
    <row r="4117" spans="1:13" hidden="1"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hidden="1"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hidden="1" x14ac:dyDescent="0.3">
      <c r="A4119" t="s">
        <v>17</v>
      </c>
      <c r="B4119">
        <v>4118</v>
      </c>
      <c r="C4119" t="s">
        <v>1537</v>
      </c>
      <c r="D4119" t="s">
        <v>32</v>
      </c>
      <c r="E4119">
        <v>2018</v>
      </c>
      <c r="F4119" t="s">
        <v>45</v>
      </c>
      <c r="G4119" t="s">
        <v>21</v>
      </c>
      <c r="H4119" t="s">
        <v>15</v>
      </c>
      <c r="I4119" t="s">
        <v>46</v>
      </c>
      <c r="J4119">
        <v>0</v>
      </c>
      <c r="L4119">
        <v>153.80240000000001</v>
      </c>
      <c r="M4119">
        <v>3.9</v>
      </c>
    </row>
    <row r="4120" spans="1:13" hidden="1"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hidden="1"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hidden="1"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hidden="1"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hidden="1" x14ac:dyDescent="0.3">
      <c r="A4124" t="s">
        <v>10</v>
      </c>
      <c r="B4124">
        <v>4123</v>
      </c>
      <c r="C4124" t="s">
        <v>1484</v>
      </c>
      <c r="D4124" t="s">
        <v>12</v>
      </c>
      <c r="E4124">
        <v>2018</v>
      </c>
      <c r="F4124" t="s">
        <v>45</v>
      </c>
      <c r="G4124" t="s">
        <v>21</v>
      </c>
      <c r="H4124" t="s">
        <v>15</v>
      </c>
      <c r="I4124" t="s">
        <v>46</v>
      </c>
      <c r="J4124">
        <v>2.2807826E-2</v>
      </c>
      <c r="L4124">
        <v>183.495</v>
      </c>
      <c r="M4124">
        <v>3.9</v>
      </c>
    </row>
    <row r="4125" spans="1:13" hidden="1"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hidden="1"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hidden="1"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hidden="1"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hidden="1"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hidden="1"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hidden="1"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hidden="1"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hidden="1"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hidden="1"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hidden="1" x14ac:dyDescent="0.3">
      <c r="A4180" t="s">
        <v>17</v>
      </c>
      <c r="B4180">
        <v>4179</v>
      </c>
      <c r="C4180" t="s">
        <v>644</v>
      </c>
      <c r="D4180" t="s">
        <v>32</v>
      </c>
      <c r="E4180">
        <v>2018</v>
      </c>
      <c r="F4180" t="s">
        <v>138</v>
      </c>
      <c r="G4180" t="s">
        <v>14</v>
      </c>
      <c r="H4180" t="s">
        <v>26</v>
      </c>
      <c r="I4180" t="s">
        <v>40</v>
      </c>
      <c r="J4180">
        <v>3.3929133E-2</v>
      </c>
      <c r="L4180">
        <v>154.3972</v>
      </c>
      <c r="M4180">
        <v>3.8</v>
      </c>
    </row>
    <row r="4181" spans="1:13" hidden="1"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hidden="1" x14ac:dyDescent="0.3">
      <c r="A4182" t="s">
        <v>17</v>
      </c>
      <c r="B4182">
        <v>4181</v>
      </c>
      <c r="C4182" t="s">
        <v>1061</v>
      </c>
      <c r="D4182" t="s">
        <v>95</v>
      </c>
      <c r="E4182">
        <v>2018</v>
      </c>
      <c r="F4182" t="s">
        <v>138</v>
      </c>
      <c r="G4182" t="s">
        <v>14</v>
      </c>
      <c r="H4182" t="s">
        <v>26</v>
      </c>
      <c r="I4182" t="s">
        <v>40</v>
      </c>
      <c r="J4182">
        <v>0</v>
      </c>
      <c r="L4182">
        <v>81.861800000000002</v>
      </c>
      <c r="M4182">
        <v>3.8</v>
      </c>
    </row>
    <row r="4183" spans="1:13" hidden="1" x14ac:dyDescent="0.3">
      <c r="A4183" t="s">
        <v>17</v>
      </c>
      <c r="B4183">
        <v>4182</v>
      </c>
      <c r="C4183" t="s">
        <v>766</v>
      </c>
      <c r="D4183" t="s">
        <v>28</v>
      </c>
      <c r="E4183">
        <v>2018</v>
      </c>
      <c r="F4183" t="s">
        <v>138</v>
      </c>
      <c r="G4183" t="s">
        <v>14</v>
      </c>
      <c r="H4183" t="s">
        <v>26</v>
      </c>
      <c r="I4183" t="s">
        <v>40</v>
      </c>
      <c r="J4183">
        <v>1.9716846E-2</v>
      </c>
      <c r="L4183">
        <v>191.9188</v>
      </c>
      <c r="M4183">
        <v>3.8</v>
      </c>
    </row>
    <row r="4184" spans="1:13" hidden="1"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hidden="1"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hidden="1"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hidden="1"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hidden="1" x14ac:dyDescent="0.3">
      <c r="A4188" t="s">
        <v>17</v>
      </c>
      <c r="B4188">
        <v>4187</v>
      </c>
      <c r="C4188" t="s">
        <v>631</v>
      </c>
      <c r="D4188" t="s">
        <v>64</v>
      </c>
      <c r="E4188">
        <v>2018</v>
      </c>
      <c r="F4188" t="s">
        <v>138</v>
      </c>
      <c r="G4188" t="s">
        <v>14</v>
      </c>
      <c r="H4188" t="s">
        <v>26</v>
      </c>
      <c r="I4188" t="s">
        <v>40</v>
      </c>
      <c r="J4188">
        <v>1.1835436E-2</v>
      </c>
      <c r="L4188">
        <v>121.373</v>
      </c>
      <c r="M4188">
        <v>3.8</v>
      </c>
    </row>
    <row r="4189" spans="1:13" hidden="1" x14ac:dyDescent="0.3">
      <c r="A4189" t="s">
        <v>10</v>
      </c>
      <c r="B4189">
        <v>4188</v>
      </c>
      <c r="C4189" t="s">
        <v>420</v>
      </c>
      <c r="D4189" t="s">
        <v>95</v>
      </c>
      <c r="E4189">
        <v>2018</v>
      </c>
      <c r="F4189" t="s">
        <v>138</v>
      </c>
      <c r="G4189" t="s">
        <v>14</v>
      </c>
      <c r="H4189" t="s">
        <v>26</v>
      </c>
      <c r="I4189" t="s">
        <v>40</v>
      </c>
      <c r="J4189">
        <v>0</v>
      </c>
      <c r="L4189">
        <v>121.3098</v>
      </c>
      <c r="M4189">
        <v>3.8</v>
      </c>
    </row>
    <row r="4190" spans="1:13" hidden="1"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hidden="1"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hidden="1"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hidden="1"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hidden="1"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hidden="1"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hidden="1"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hidden="1"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hidden="1"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hidden="1" x14ac:dyDescent="0.3">
      <c r="A4363" t="s">
        <v>17</v>
      </c>
      <c r="B4363">
        <v>4362</v>
      </c>
      <c r="C4363" t="s">
        <v>143</v>
      </c>
      <c r="D4363" t="s">
        <v>12</v>
      </c>
      <c r="E4363">
        <v>2018</v>
      </c>
      <c r="F4363" t="s">
        <v>45</v>
      </c>
      <c r="G4363" t="s">
        <v>21</v>
      </c>
      <c r="H4363" t="s">
        <v>15</v>
      </c>
      <c r="I4363" t="s">
        <v>46</v>
      </c>
      <c r="J4363">
        <v>2.5612348E-2</v>
      </c>
      <c r="L4363">
        <v>168.2474</v>
      </c>
      <c r="M4363">
        <v>3.8</v>
      </c>
    </row>
    <row r="4364" spans="1:13" hidden="1"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hidden="1"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hidden="1" x14ac:dyDescent="0.3">
      <c r="A4366" t="s">
        <v>17</v>
      </c>
      <c r="B4366">
        <v>4365</v>
      </c>
      <c r="C4366" t="s">
        <v>58</v>
      </c>
      <c r="D4366" t="s">
        <v>42</v>
      </c>
      <c r="E4366">
        <v>2018</v>
      </c>
      <c r="F4366" t="s">
        <v>45</v>
      </c>
      <c r="G4366" t="s">
        <v>21</v>
      </c>
      <c r="H4366" t="s">
        <v>15</v>
      </c>
      <c r="I4366" t="s">
        <v>46</v>
      </c>
      <c r="J4366">
        <v>7.7132215000000004E-2</v>
      </c>
      <c r="L4366">
        <v>197.411</v>
      </c>
      <c r="M4366">
        <v>3.8</v>
      </c>
    </row>
    <row r="4367" spans="1:13" hidden="1"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hidden="1"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hidden="1"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hidden="1"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hidden="1"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hidden="1"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hidden="1"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hidden="1"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hidden="1"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hidden="1"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hidden="1"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hidden="1"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hidden="1"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hidden="1"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hidden="1"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hidden="1"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hidden="1"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hidden="1"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hidden="1"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hidden="1"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hidden="1"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3">
      <c r="A4395" t="s">
        <v>10</v>
      </c>
      <c r="B4395">
        <v>4394</v>
      </c>
      <c r="C4395" t="s">
        <v>1511</v>
      </c>
      <c r="D4395" t="s">
        <v>28</v>
      </c>
      <c r="E4395">
        <v>2018</v>
      </c>
      <c r="F4395" t="s">
        <v>45</v>
      </c>
      <c r="G4395" t="s">
        <v>21</v>
      </c>
      <c r="H4395" t="s">
        <v>15</v>
      </c>
      <c r="I4395" t="s">
        <v>46</v>
      </c>
      <c r="J4395">
        <v>0.101338651</v>
      </c>
      <c r="L4395">
        <v>232.63</v>
      </c>
      <c r="M4395">
        <v>3.7</v>
      </c>
    </row>
    <row r="4396" spans="1:13" hidden="1"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hidden="1"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hidden="1" x14ac:dyDescent="0.3">
      <c r="A4435" t="s">
        <v>17</v>
      </c>
      <c r="B4435">
        <v>4434</v>
      </c>
      <c r="C4435" t="s">
        <v>83</v>
      </c>
      <c r="D4435" t="s">
        <v>12</v>
      </c>
      <c r="E4435">
        <v>2018</v>
      </c>
      <c r="F4435" t="s">
        <v>138</v>
      </c>
      <c r="G4435" t="s">
        <v>14</v>
      </c>
      <c r="H4435" t="s">
        <v>26</v>
      </c>
      <c r="I4435" t="s">
        <v>40</v>
      </c>
      <c r="J4435">
        <v>0.100493148</v>
      </c>
      <c r="L4435">
        <v>123.1046</v>
      </c>
      <c r="M4435">
        <v>3.7</v>
      </c>
    </row>
    <row r="4436" spans="1:13" hidden="1"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hidden="1"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hidden="1"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hidden="1"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hidden="1"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hidden="1"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hidden="1"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hidden="1"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hidden="1"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hidden="1"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hidden="1"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hidden="1"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hidden="1"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hidden="1"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hidden="1"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hidden="1"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hidden="1"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hidden="1"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hidden="1"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hidden="1"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hidden="1" x14ac:dyDescent="0.3">
      <c r="A4588" t="s">
        <v>10</v>
      </c>
      <c r="B4588">
        <v>4587</v>
      </c>
      <c r="C4588" t="s">
        <v>135</v>
      </c>
      <c r="D4588" t="s">
        <v>95</v>
      </c>
      <c r="E4588">
        <v>2018</v>
      </c>
      <c r="F4588" t="s">
        <v>45</v>
      </c>
      <c r="G4588" t="s">
        <v>21</v>
      </c>
      <c r="H4588" t="s">
        <v>15</v>
      </c>
      <c r="I4588" t="s">
        <v>46</v>
      </c>
      <c r="J4588">
        <v>0</v>
      </c>
      <c r="L4588">
        <v>75.9328</v>
      </c>
      <c r="M4588">
        <v>3.7</v>
      </c>
    </row>
    <row r="4589" spans="1:13" hidden="1"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hidden="1"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hidden="1"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hidden="1"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hidden="1"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hidden="1"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hidden="1"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hidden="1"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hidden="1"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hidden="1"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hidden="1" x14ac:dyDescent="0.3">
      <c r="A4625" t="s">
        <v>17</v>
      </c>
      <c r="B4625">
        <v>4624</v>
      </c>
      <c r="C4625" t="s">
        <v>246</v>
      </c>
      <c r="D4625" t="s">
        <v>48</v>
      </c>
      <c r="E4625">
        <v>2018</v>
      </c>
      <c r="F4625" t="s">
        <v>138</v>
      </c>
      <c r="G4625" t="s">
        <v>14</v>
      </c>
      <c r="H4625" t="s">
        <v>26</v>
      </c>
      <c r="I4625" t="s">
        <v>40</v>
      </c>
      <c r="J4625">
        <v>0.160665697</v>
      </c>
      <c r="L4625">
        <v>227.5352</v>
      </c>
      <c r="M4625">
        <v>3.6</v>
      </c>
    </row>
    <row r="4626" spans="1:13" hidden="1"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hidden="1"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hidden="1"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hidden="1"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t="s">
        <v>17</v>
      </c>
      <c r="B4729">
        <v>4728</v>
      </c>
      <c r="C4729" t="s">
        <v>502</v>
      </c>
      <c r="D4729" t="s">
        <v>67</v>
      </c>
      <c r="E4729">
        <v>2018</v>
      </c>
      <c r="F4729" t="s">
        <v>45</v>
      </c>
      <c r="G4729" t="s">
        <v>21</v>
      </c>
      <c r="H4729" t="s">
        <v>15</v>
      </c>
      <c r="I4729" t="s">
        <v>46</v>
      </c>
      <c r="J4729">
        <v>0</v>
      </c>
      <c r="L4729">
        <v>89.185599999999994</v>
      </c>
      <c r="M4729">
        <v>3.6</v>
      </c>
    </row>
    <row r="4730" spans="1:13" hidden="1"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hidden="1"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hidden="1"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hidden="1"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hidden="1"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hidden="1"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hidden="1"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hidden="1"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hidden="1"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hidden="1"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hidden="1"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hidden="1"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hidden="1"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hidden="1"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hidden="1"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hidden="1"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hidden="1"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hidden="1" x14ac:dyDescent="0.3">
      <c r="A4787" t="s">
        <v>10</v>
      </c>
      <c r="B4787">
        <v>4786</v>
      </c>
      <c r="C4787" t="s">
        <v>885</v>
      </c>
      <c r="D4787" t="s">
        <v>54</v>
      </c>
      <c r="E4787">
        <v>2018</v>
      </c>
      <c r="F4787" t="s">
        <v>138</v>
      </c>
      <c r="G4787" t="s">
        <v>14</v>
      </c>
      <c r="H4787" t="s">
        <v>26</v>
      </c>
      <c r="I4787" t="s">
        <v>40</v>
      </c>
      <c r="J4787">
        <v>0</v>
      </c>
      <c r="L4787">
        <v>98.2042</v>
      </c>
      <c r="M4787">
        <v>3.5</v>
      </c>
    </row>
    <row r="4788" spans="1:13" hidden="1"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t="s">
        <v>17</v>
      </c>
      <c r="B4898">
        <v>4897</v>
      </c>
      <c r="C4898" t="s">
        <v>874</v>
      </c>
      <c r="D4898" t="s">
        <v>57</v>
      </c>
      <c r="E4898">
        <v>2018</v>
      </c>
      <c r="F4898" t="s">
        <v>45</v>
      </c>
      <c r="G4898" t="s">
        <v>21</v>
      </c>
      <c r="H4898" t="s">
        <v>15</v>
      </c>
      <c r="I4898" t="s">
        <v>46</v>
      </c>
      <c r="J4898">
        <v>0.105324246</v>
      </c>
      <c r="L4898">
        <v>125.7046</v>
      </c>
      <c r="M4898">
        <v>3.5</v>
      </c>
    </row>
    <row r="4899" spans="1:13" hidden="1"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hidden="1" x14ac:dyDescent="0.3">
      <c r="A4900" t="s">
        <v>17</v>
      </c>
      <c r="B4900">
        <v>4899</v>
      </c>
      <c r="C4900" t="s">
        <v>827</v>
      </c>
      <c r="D4900" t="s">
        <v>67</v>
      </c>
      <c r="E4900">
        <v>2018</v>
      </c>
      <c r="F4900" t="s">
        <v>45</v>
      </c>
      <c r="G4900" t="s">
        <v>21</v>
      </c>
      <c r="H4900" t="s">
        <v>15</v>
      </c>
      <c r="I4900" t="s">
        <v>46</v>
      </c>
      <c r="J4900">
        <v>0.119371835</v>
      </c>
      <c r="L4900">
        <v>45.2744</v>
      </c>
      <c r="M4900">
        <v>3.5</v>
      </c>
    </row>
    <row r="4901" spans="1:13" hidden="1"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hidden="1"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hidden="1" x14ac:dyDescent="0.3">
      <c r="A4903" t="s">
        <v>17</v>
      </c>
      <c r="B4903">
        <v>4902</v>
      </c>
      <c r="C4903" t="s">
        <v>1576</v>
      </c>
      <c r="D4903" t="s">
        <v>12</v>
      </c>
      <c r="E4903">
        <v>2018</v>
      </c>
      <c r="F4903" t="s">
        <v>45</v>
      </c>
      <c r="G4903" t="s">
        <v>21</v>
      </c>
      <c r="H4903" t="s">
        <v>15</v>
      </c>
      <c r="I4903" t="s">
        <v>46</v>
      </c>
      <c r="J4903">
        <v>0</v>
      </c>
      <c r="L4903">
        <v>55.729799999999997</v>
      </c>
      <c r="M4903">
        <v>3.5</v>
      </c>
    </row>
    <row r="4904" spans="1:13" hidden="1" x14ac:dyDescent="0.3">
      <c r="A4904" t="s">
        <v>17</v>
      </c>
      <c r="B4904">
        <v>4903</v>
      </c>
      <c r="C4904" t="s">
        <v>1279</v>
      </c>
      <c r="D4904" t="s">
        <v>12</v>
      </c>
      <c r="E4904">
        <v>2018</v>
      </c>
      <c r="F4904" t="s">
        <v>45</v>
      </c>
      <c r="G4904" t="s">
        <v>21</v>
      </c>
      <c r="H4904" t="s">
        <v>15</v>
      </c>
      <c r="I4904" t="s">
        <v>46</v>
      </c>
      <c r="J4904">
        <v>1.2215675E-2</v>
      </c>
      <c r="L4904">
        <v>162.7894</v>
      </c>
      <c r="M4904">
        <v>3.5</v>
      </c>
    </row>
    <row r="4905" spans="1:13" hidden="1"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hidden="1"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hidden="1"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hidden="1"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hidden="1"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hidden="1"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hidden="1"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hidden="1"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hidden="1" x14ac:dyDescent="0.3">
      <c r="A4913" t="s">
        <v>10</v>
      </c>
      <c r="B4913">
        <v>4912</v>
      </c>
      <c r="C4913" t="s">
        <v>1577</v>
      </c>
      <c r="D4913" t="s">
        <v>67</v>
      </c>
      <c r="E4913">
        <v>2018</v>
      </c>
      <c r="F4913" t="s">
        <v>45</v>
      </c>
      <c r="G4913" t="s">
        <v>21</v>
      </c>
      <c r="H4913" t="s">
        <v>15</v>
      </c>
      <c r="I4913" t="s">
        <v>46</v>
      </c>
      <c r="J4913">
        <v>0</v>
      </c>
      <c r="L4913">
        <v>184.26079999999999</v>
      </c>
      <c r="M4913">
        <v>3.5</v>
      </c>
    </row>
    <row r="4914" spans="1:13" hidden="1"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hidden="1"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hidden="1"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hidden="1"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hidden="1"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hidden="1"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hidden="1"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hidden="1"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hidden="1"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hidden="1"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hidden="1" x14ac:dyDescent="0.3">
      <c r="A5022" t="s">
        <v>17</v>
      </c>
      <c r="B5022">
        <v>5021</v>
      </c>
      <c r="C5022" t="s">
        <v>626</v>
      </c>
      <c r="D5022" t="s">
        <v>19</v>
      </c>
      <c r="E5022">
        <v>2018</v>
      </c>
      <c r="F5022" t="s">
        <v>138</v>
      </c>
      <c r="G5022" t="s">
        <v>14</v>
      </c>
      <c r="H5022" t="s">
        <v>26</v>
      </c>
      <c r="I5022" t="s">
        <v>40</v>
      </c>
      <c r="J5022">
        <v>9.1411749E-2</v>
      </c>
      <c r="L5022">
        <v>121.373</v>
      </c>
      <c r="M5022">
        <v>3.3</v>
      </c>
    </row>
    <row r="5023" spans="1:13" hidden="1"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hidden="1"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hidden="1"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t="s">
        <v>17</v>
      </c>
      <c r="B5112">
        <v>5111</v>
      </c>
      <c r="C5112" t="s">
        <v>495</v>
      </c>
      <c r="D5112" t="s">
        <v>67</v>
      </c>
      <c r="E5112">
        <v>2018</v>
      </c>
      <c r="F5112" t="s">
        <v>45</v>
      </c>
      <c r="G5112" t="s">
        <v>21</v>
      </c>
      <c r="H5112" t="s">
        <v>15</v>
      </c>
      <c r="I5112" t="s">
        <v>46</v>
      </c>
      <c r="J5112">
        <v>0</v>
      </c>
      <c r="L5112">
        <v>175.30279999999999</v>
      </c>
      <c r="M5112">
        <v>3.3</v>
      </c>
    </row>
    <row r="5113" spans="1:13" hidden="1"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hidden="1"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hidden="1"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hidden="1"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hidden="1"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hidden="1"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hidden="1"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hidden="1"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hidden="1"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hidden="1"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hidden="1"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hidden="1" x14ac:dyDescent="0.3">
      <c r="A5170" t="s">
        <v>17</v>
      </c>
      <c r="B5170">
        <v>5169</v>
      </c>
      <c r="C5170" t="s">
        <v>668</v>
      </c>
      <c r="D5170" t="s">
        <v>12</v>
      </c>
      <c r="E5170">
        <v>2018</v>
      </c>
      <c r="F5170" t="s">
        <v>45</v>
      </c>
      <c r="G5170" t="s">
        <v>21</v>
      </c>
      <c r="H5170" t="s">
        <v>15</v>
      </c>
      <c r="I5170" t="s">
        <v>46</v>
      </c>
      <c r="J5170">
        <v>0</v>
      </c>
      <c r="L5170">
        <v>255.7988</v>
      </c>
      <c r="M5170">
        <v>3.2</v>
      </c>
    </row>
    <row r="5171" spans="1:13" hidden="1"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hidden="1"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hidden="1"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hidden="1"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hidden="1"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hidden="1"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hidden="1"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hidden="1"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hidden="1"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hidden="1" x14ac:dyDescent="0.3">
      <c r="A5221" t="s">
        <v>10</v>
      </c>
      <c r="B5221">
        <v>5220</v>
      </c>
      <c r="C5221" t="s">
        <v>807</v>
      </c>
      <c r="D5221" t="s">
        <v>12</v>
      </c>
      <c r="E5221">
        <v>2018</v>
      </c>
      <c r="F5221" t="s">
        <v>45</v>
      </c>
      <c r="G5221" t="s">
        <v>21</v>
      </c>
      <c r="H5221" t="s">
        <v>15</v>
      </c>
      <c r="I5221" t="s">
        <v>46</v>
      </c>
      <c r="J5221">
        <v>2.9510313E-2</v>
      </c>
      <c r="L5221">
        <v>141.9838</v>
      </c>
      <c r="M5221">
        <v>3.1</v>
      </c>
    </row>
    <row r="5222" spans="1:13" hidden="1" x14ac:dyDescent="0.3">
      <c r="A5222" t="s">
        <v>10</v>
      </c>
      <c r="B5222">
        <v>5221</v>
      </c>
      <c r="C5222" t="s">
        <v>457</v>
      </c>
      <c r="D5222" t="s">
        <v>54</v>
      </c>
      <c r="E5222">
        <v>2018</v>
      </c>
      <c r="F5222" t="s">
        <v>45</v>
      </c>
      <c r="G5222" t="s">
        <v>21</v>
      </c>
      <c r="H5222" t="s">
        <v>15</v>
      </c>
      <c r="I5222" t="s">
        <v>46</v>
      </c>
      <c r="J5222">
        <v>3.3276066E-2</v>
      </c>
      <c r="L5222">
        <v>153.8314</v>
      </c>
      <c r="M5222">
        <v>3.1</v>
      </c>
    </row>
    <row r="5223" spans="1:13" hidden="1"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hidden="1"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hidden="1"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hidden="1"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hidden="1"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hidden="1"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hidden="1"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hidden="1"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hidden="1"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hidden="1"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hidden="1"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hidden="1"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hidden="1"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hidden="1"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hidden="1"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hidden="1" x14ac:dyDescent="0.3">
      <c r="A5397" t="s">
        <v>17</v>
      </c>
      <c r="B5397">
        <v>5396</v>
      </c>
      <c r="C5397" t="s">
        <v>1302</v>
      </c>
      <c r="D5397" t="s">
        <v>28</v>
      </c>
      <c r="E5397">
        <v>2018</v>
      </c>
      <c r="F5397" t="s">
        <v>45</v>
      </c>
      <c r="G5397" t="s">
        <v>21</v>
      </c>
      <c r="H5397" t="s">
        <v>15</v>
      </c>
      <c r="I5397" t="s">
        <v>46</v>
      </c>
      <c r="J5397">
        <v>0.14095631</v>
      </c>
      <c r="L5397">
        <v>167.7132</v>
      </c>
      <c r="M5397">
        <v>3</v>
      </c>
    </row>
    <row r="5398" spans="1:13" hidden="1"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hidden="1"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hidden="1"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hidden="1"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hidden="1" x14ac:dyDescent="0.3">
      <c r="A5402" t="s">
        <v>17</v>
      </c>
      <c r="B5402">
        <v>5401</v>
      </c>
      <c r="C5402" t="s">
        <v>41</v>
      </c>
      <c r="D5402" t="s">
        <v>42</v>
      </c>
      <c r="E5402">
        <v>2018</v>
      </c>
      <c r="F5402" t="s">
        <v>45</v>
      </c>
      <c r="G5402" t="s">
        <v>21</v>
      </c>
      <c r="H5402" t="s">
        <v>15</v>
      </c>
      <c r="I5402" t="s">
        <v>46</v>
      </c>
      <c r="J5402">
        <v>0</v>
      </c>
      <c r="L5402">
        <v>98.172600000000003</v>
      </c>
      <c r="M5402">
        <v>3</v>
      </c>
    </row>
    <row r="5403" spans="1:13" hidden="1" x14ac:dyDescent="0.3">
      <c r="A5403" t="s">
        <v>17</v>
      </c>
      <c r="B5403">
        <v>5402</v>
      </c>
      <c r="C5403" t="s">
        <v>1250</v>
      </c>
      <c r="D5403" t="s">
        <v>42</v>
      </c>
      <c r="E5403">
        <v>2018</v>
      </c>
      <c r="F5403" t="s">
        <v>45</v>
      </c>
      <c r="G5403" t="s">
        <v>21</v>
      </c>
      <c r="H5403" t="s">
        <v>15</v>
      </c>
      <c r="I5403" t="s">
        <v>46</v>
      </c>
      <c r="J5403">
        <v>0.111777297</v>
      </c>
      <c r="L5403">
        <v>124.6046</v>
      </c>
      <c r="M5403">
        <v>3</v>
      </c>
    </row>
    <row r="5404" spans="1:13" hidden="1"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hidden="1"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hidden="1"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hidden="1"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hidden="1"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hidden="1"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hidden="1"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hidden="1"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hidden="1"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hidden="1"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hidden="1"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hidden="1"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hidden="1"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hidden="1"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hidden="1"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hidden="1"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hidden="1"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hidden="1"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hidden="1"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hidden="1" x14ac:dyDescent="0.3">
      <c r="A5484" t="s">
        <v>17</v>
      </c>
      <c r="B5484">
        <v>5483</v>
      </c>
      <c r="C5484" t="s">
        <v>1085</v>
      </c>
      <c r="D5484" t="s">
        <v>19</v>
      </c>
      <c r="E5484">
        <v>2018</v>
      </c>
      <c r="F5484" t="s">
        <v>45</v>
      </c>
      <c r="G5484" t="s">
        <v>21</v>
      </c>
      <c r="H5484" t="s">
        <v>15</v>
      </c>
      <c r="I5484" t="s">
        <v>46</v>
      </c>
      <c r="J5484">
        <v>0.174336148</v>
      </c>
      <c r="L5484">
        <v>184.0608</v>
      </c>
      <c r="M5484">
        <v>2.8</v>
      </c>
    </row>
    <row r="5485" spans="1:13" hidden="1"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hidden="1"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hidden="1"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hidden="1"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hidden="1"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hidden="1"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hidden="1" x14ac:dyDescent="0.3">
      <c r="A5538" t="s">
        <v>17</v>
      </c>
      <c r="B5538">
        <v>5537</v>
      </c>
      <c r="C5538" t="s">
        <v>1523</v>
      </c>
      <c r="D5538" t="s">
        <v>48</v>
      </c>
      <c r="E5538">
        <v>2018</v>
      </c>
      <c r="F5538" t="s">
        <v>138</v>
      </c>
      <c r="G5538" t="s">
        <v>14</v>
      </c>
      <c r="H5538" t="s">
        <v>26</v>
      </c>
      <c r="I5538" t="s">
        <v>40</v>
      </c>
      <c r="J5538">
        <v>0</v>
      </c>
      <c r="L5538">
        <v>154.53399999999999</v>
      </c>
      <c r="M5538">
        <v>2.5</v>
      </c>
    </row>
    <row r="5539" spans="1:13" hidden="1"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hidden="1"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hidden="1"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hidden="1"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hidden="1"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hidden="1"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hidden="1"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hidden="1"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hidden="1"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hidden="1"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hidden="1"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hidden="1"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hidden="1"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hidden="1"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hidden="1"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hidden="1"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hidden="1" x14ac:dyDescent="0.3">
      <c r="A5694" t="s">
        <v>17</v>
      </c>
      <c r="B5694">
        <v>5693</v>
      </c>
      <c r="C5694" t="s">
        <v>1108</v>
      </c>
      <c r="D5694" t="s">
        <v>12</v>
      </c>
      <c r="E5694">
        <v>2018</v>
      </c>
      <c r="F5694" t="s">
        <v>45</v>
      </c>
      <c r="G5694" t="s">
        <v>21</v>
      </c>
      <c r="H5694" t="s">
        <v>15</v>
      </c>
      <c r="I5694" t="s">
        <v>46</v>
      </c>
      <c r="J5694">
        <v>0.11995987299999999</v>
      </c>
      <c r="L5694">
        <v>45.506</v>
      </c>
      <c r="M5694">
        <v>2</v>
      </c>
    </row>
    <row r="5695" spans="1:13" hidden="1"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hidden="1"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hidden="1"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hidden="1"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hidden="1"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hidden="1"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hidden="1"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hidden="1"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hidden="1"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hidden="1"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hidden="1"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hidden="1" x14ac:dyDescent="0.3">
      <c r="A5830" t="s">
        <v>17</v>
      </c>
      <c r="B5830">
        <v>5829</v>
      </c>
      <c r="C5830" t="s">
        <v>1502</v>
      </c>
      <c r="D5830" t="s">
        <v>95</v>
      </c>
      <c r="E5830">
        <v>2018</v>
      </c>
      <c r="F5830" t="s">
        <v>45</v>
      </c>
      <c r="G5830" t="s">
        <v>21</v>
      </c>
      <c r="H5830" t="s">
        <v>15</v>
      </c>
      <c r="I5830" t="s">
        <v>46</v>
      </c>
      <c r="J5830">
        <v>0</v>
      </c>
      <c r="L5830">
        <v>196.50839999999999</v>
      </c>
      <c r="M5830">
        <v>1</v>
      </c>
    </row>
    <row r="5831" spans="1:13" hidden="1" x14ac:dyDescent="0.3">
      <c r="A5831" t="s">
        <v>17</v>
      </c>
      <c r="B5831">
        <v>5830</v>
      </c>
      <c r="C5831" t="s">
        <v>820</v>
      </c>
      <c r="D5831" t="s">
        <v>12</v>
      </c>
      <c r="E5831">
        <v>2018</v>
      </c>
      <c r="F5831" t="s">
        <v>45</v>
      </c>
      <c r="G5831" t="s">
        <v>21</v>
      </c>
      <c r="H5831" t="s">
        <v>15</v>
      </c>
      <c r="I5831" t="s">
        <v>46</v>
      </c>
      <c r="J5831">
        <v>2.5841875E-2</v>
      </c>
      <c r="L5831">
        <v>120.7414</v>
      </c>
      <c r="M5831">
        <v>1</v>
      </c>
    </row>
    <row r="5832" spans="1:13" hidden="1" x14ac:dyDescent="0.3">
      <c r="A5832" t="s">
        <v>17</v>
      </c>
      <c r="B5832">
        <v>5831</v>
      </c>
      <c r="C5832" t="s">
        <v>235</v>
      </c>
      <c r="D5832" t="s">
        <v>61</v>
      </c>
      <c r="E5832">
        <v>2018</v>
      </c>
      <c r="F5832" t="s">
        <v>45</v>
      </c>
      <c r="G5832" t="s">
        <v>21</v>
      </c>
      <c r="H5832" t="s">
        <v>15</v>
      </c>
      <c r="I5832" t="s">
        <v>46</v>
      </c>
      <c r="J5832">
        <v>0</v>
      </c>
      <c r="L5832">
        <v>171.7422</v>
      </c>
      <c r="M5832">
        <v>1</v>
      </c>
    </row>
    <row r="5833" spans="1:13" hidden="1"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hidden="1"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hidden="1" x14ac:dyDescent="0.3">
      <c r="A5835" t="s">
        <v>17</v>
      </c>
      <c r="B5835">
        <v>5834</v>
      </c>
      <c r="C5835" t="s">
        <v>306</v>
      </c>
      <c r="D5835" t="s">
        <v>48</v>
      </c>
      <c r="E5835">
        <v>2018</v>
      </c>
      <c r="F5835" t="s">
        <v>45</v>
      </c>
      <c r="G5835" t="s">
        <v>21</v>
      </c>
      <c r="H5835" t="s">
        <v>15</v>
      </c>
      <c r="I5835" t="s">
        <v>46</v>
      </c>
      <c r="J5835">
        <v>4.9066248E-2</v>
      </c>
      <c r="L5835">
        <v>192.4478</v>
      </c>
      <c r="M5835">
        <v>1</v>
      </c>
    </row>
    <row r="5836" spans="1:13" hidden="1"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hidden="1"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hidden="1" x14ac:dyDescent="0.3">
      <c r="A5838" t="s">
        <v>10</v>
      </c>
      <c r="B5838">
        <v>5837</v>
      </c>
      <c r="C5838" t="s">
        <v>190</v>
      </c>
      <c r="D5838" t="s">
        <v>24</v>
      </c>
      <c r="E5838">
        <v>2018</v>
      </c>
      <c r="F5838" t="s">
        <v>45</v>
      </c>
      <c r="G5838" t="s">
        <v>21</v>
      </c>
      <c r="H5838" t="s">
        <v>15</v>
      </c>
      <c r="I5838" t="s">
        <v>46</v>
      </c>
      <c r="J5838">
        <v>4.1370245E-2</v>
      </c>
      <c r="L5838">
        <v>46.2376</v>
      </c>
      <c r="M5838">
        <v>1</v>
      </c>
    </row>
    <row r="5839" spans="1:13" hidden="1" x14ac:dyDescent="0.3">
      <c r="A5839" t="s">
        <v>10</v>
      </c>
      <c r="B5839">
        <v>5838</v>
      </c>
      <c r="C5839" t="s">
        <v>1158</v>
      </c>
      <c r="D5839" t="s">
        <v>12</v>
      </c>
      <c r="E5839">
        <v>2018</v>
      </c>
      <c r="F5839" t="s">
        <v>45</v>
      </c>
      <c r="G5839" t="s">
        <v>21</v>
      </c>
      <c r="H5839" t="s">
        <v>15</v>
      </c>
      <c r="I5839" t="s">
        <v>46</v>
      </c>
      <c r="J5839">
        <v>0</v>
      </c>
      <c r="L5839">
        <v>120.5072</v>
      </c>
      <c r="M5839">
        <v>1</v>
      </c>
    </row>
    <row r="5840" spans="1:13" hidden="1"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hidden="1"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hidden="1"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hidden="1"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hidden="1"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hidden="1"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hidden="1"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hidden="1"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hidden="1"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hidden="1"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hidden="1"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hidden="1"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hidden="1"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hidden="1"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hidden="1"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hidden="1"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hidden="1"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hidden="1"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hidden="1"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hidden="1"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hidden="1"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hidden="1"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hidden="1"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hidden="1"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hidden="1"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hidden="1"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hidden="1"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hidden="1"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hidden="1"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hidden="1"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hidden="1"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hidden="1"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hidden="1"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hidden="1"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hidden="1"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hidden="1"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hidden="1"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hidden="1"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hidden="1"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hidden="1"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hidden="1"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hidden="1"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hidden="1"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hidden="1"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hidden="1"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hidden="1"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hidden="1"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hidden="1"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hidden="1"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hidden="1"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hidden="1"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hidden="1"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hidden="1"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hidden="1"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hidden="1"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hidden="1" x14ac:dyDescent="0.3">
      <c r="A6426" t="s">
        <v>17</v>
      </c>
      <c r="B6426">
        <v>6425</v>
      </c>
      <c r="C6426" t="s">
        <v>668</v>
      </c>
      <c r="D6426" t="s">
        <v>12</v>
      </c>
      <c r="E6426">
        <v>2018</v>
      </c>
      <c r="F6426" t="s">
        <v>138</v>
      </c>
      <c r="G6426" t="s">
        <v>14</v>
      </c>
      <c r="H6426" t="s">
        <v>26</v>
      </c>
      <c r="I6426" t="s">
        <v>40</v>
      </c>
      <c r="J6426">
        <v>0</v>
      </c>
      <c r="L6426">
        <v>258.39879999999999</v>
      </c>
      <c r="M6426">
        <v>4</v>
      </c>
    </row>
    <row r="6427" spans="1:13" hidden="1"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hidden="1"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hidden="1"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hidden="1" x14ac:dyDescent="0.3">
      <c r="A6430" t="s">
        <v>17</v>
      </c>
      <c r="B6430">
        <v>6429</v>
      </c>
      <c r="C6430" t="s">
        <v>1242</v>
      </c>
      <c r="D6430" t="s">
        <v>32</v>
      </c>
      <c r="E6430">
        <v>2018</v>
      </c>
      <c r="F6430" t="s">
        <v>138</v>
      </c>
      <c r="G6430" t="s">
        <v>14</v>
      </c>
      <c r="H6430" t="s">
        <v>26</v>
      </c>
      <c r="I6430" t="s">
        <v>40</v>
      </c>
      <c r="J6430">
        <v>0</v>
      </c>
      <c r="L6430">
        <v>40.513800000000003</v>
      </c>
      <c r="M6430">
        <v>4</v>
      </c>
    </row>
    <row r="6431" spans="1:13" hidden="1"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hidden="1"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hidden="1"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hidden="1"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hidden="1"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hidden="1"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hidden="1"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hidden="1"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hidden="1"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hidden="1"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hidden="1"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hidden="1"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hidden="1"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hidden="1"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hidden="1"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hidden="1"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hidden="1"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hidden="1"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hidden="1"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hidden="1"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hidden="1"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hidden="1"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hidden="1"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hidden="1"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hidden="1"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hidden="1"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hidden="1"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hidden="1"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hidden="1"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hidden="1" x14ac:dyDescent="0.3">
      <c r="A6460" t="s">
        <v>17</v>
      </c>
      <c r="B6460">
        <v>6459</v>
      </c>
      <c r="C6460" t="s">
        <v>1278</v>
      </c>
      <c r="D6460" t="s">
        <v>24</v>
      </c>
      <c r="E6460">
        <v>2018</v>
      </c>
      <c r="F6460" t="s">
        <v>138</v>
      </c>
      <c r="G6460" t="s">
        <v>14</v>
      </c>
      <c r="H6460" t="s">
        <v>26</v>
      </c>
      <c r="I6460" t="s">
        <v>40</v>
      </c>
      <c r="J6460">
        <v>2.4546148E-2</v>
      </c>
      <c r="L6460">
        <v>34.619</v>
      </c>
      <c r="M6460">
        <v>4</v>
      </c>
    </row>
    <row r="6461" spans="1:13" hidden="1"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hidden="1"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hidden="1"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hidden="1"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hidden="1"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hidden="1"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hidden="1"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hidden="1" x14ac:dyDescent="0.3">
      <c r="A6468" t="s">
        <v>17</v>
      </c>
      <c r="B6468">
        <v>6467</v>
      </c>
      <c r="C6468" t="s">
        <v>59</v>
      </c>
      <c r="D6468" t="s">
        <v>12</v>
      </c>
      <c r="E6468">
        <v>2018</v>
      </c>
      <c r="F6468" t="s">
        <v>138</v>
      </c>
      <c r="G6468" t="s">
        <v>14</v>
      </c>
      <c r="H6468" t="s">
        <v>26</v>
      </c>
      <c r="I6468" t="s">
        <v>40</v>
      </c>
      <c r="J6468">
        <v>0.32111500999999998</v>
      </c>
      <c r="L6468">
        <v>100.77</v>
      </c>
      <c r="M6468">
        <v>4</v>
      </c>
    </row>
    <row r="6469" spans="1:13" hidden="1"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hidden="1"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hidden="1"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hidden="1"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hidden="1"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hidden="1"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hidden="1"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hidden="1"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hidden="1" x14ac:dyDescent="0.3">
      <c r="A6477" t="s">
        <v>17</v>
      </c>
      <c r="B6477">
        <v>6476</v>
      </c>
      <c r="C6477" t="s">
        <v>849</v>
      </c>
      <c r="D6477" t="s">
        <v>42</v>
      </c>
      <c r="E6477">
        <v>2018</v>
      </c>
      <c r="F6477" t="s">
        <v>138</v>
      </c>
      <c r="G6477" t="s">
        <v>14</v>
      </c>
      <c r="H6477" t="s">
        <v>26</v>
      </c>
      <c r="I6477" t="s">
        <v>40</v>
      </c>
      <c r="J6477">
        <v>2.8048877E-2</v>
      </c>
      <c r="L6477">
        <v>106.1964</v>
      </c>
      <c r="M6477">
        <v>4</v>
      </c>
    </row>
    <row r="6478" spans="1:13" hidden="1"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hidden="1"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hidden="1"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hidden="1" x14ac:dyDescent="0.3">
      <c r="A6481" t="s">
        <v>17</v>
      </c>
      <c r="B6481">
        <v>6480</v>
      </c>
      <c r="C6481" t="s">
        <v>752</v>
      </c>
      <c r="D6481" t="s">
        <v>42</v>
      </c>
      <c r="E6481">
        <v>2018</v>
      </c>
      <c r="F6481" t="s">
        <v>138</v>
      </c>
      <c r="G6481" t="s">
        <v>14</v>
      </c>
      <c r="H6481" t="s">
        <v>26</v>
      </c>
      <c r="I6481" t="s">
        <v>40</v>
      </c>
      <c r="J6481">
        <v>0.12723424899999999</v>
      </c>
      <c r="L6481">
        <v>158.392</v>
      </c>
      <c r="M6481">
        <v>4</v>
      </c>
    </row>
    <row r="6482" spans="1:13" hidden="1"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hidden="1"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hidden="1" x14ac:dyDescent="0.3">
      <c r="A6484" t="s">
        <v>17</v>
      </c>
      <c r="B6484">
        <v>6483</v>
      </c>
      <c r="C6484" t="s">
        <v>218</v>
      </c>
      <c r="D6484" t="s">
        <v>42</v>
      </c>
      <c r="E6484">
        <v>2018</v>
      </c>
      <c r="F6484" t="s">
        <v>138</v>
      </c>
      <c r="G6484" t="s">
        <v>14</v>
      </c>
      <c r="H6484" t="s">
        <v>26</v>
      </c>
      <c r="I6484" t="s">
        <v>40</v>
      </c>
      <c r="J6484">
        <v>2.5039776E-2</v>
      </c>
      <c r="L6484">
        <v>102.7332</v>
      </c>
      <c r="M6484">
        <v>4</v>
      </c>
    </row>
    <row r="6485" spans="1:13" hidden="1"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hidden="1" x14ac:dyDescent="0.3">
      <c r="A6486" t="s">
        <v>17</v>
      </c>
      <c r="B6486">
        <v>6485</v>
      </c>
      <c r="C6486" t="s">
        <v>1227</v>
      </c>
      <c r="D6486" t="s">
        <v>42</v>
      </c>
      <c r="E6486">
        <v>2018</v>
      </c>
      <c r="F6486" t="s">
        <v>138</v>
      </c>
      <c r="G6486" t="s">
        <v>14</v>
      </c>
      <c r="H6486" t="s">
        <v>26</v>
      </c>
      <c r="I6486" t="s">
        <v>40</v>
      </c>
      <c r="J6486">
        <v>0.124299531</v>
      </c>
      <c r="L6486">
        <v>73.4696</v>
      </c>
      <c r="M6486">
        <v>4</v>
      </c>
    </row>
    <row r="6487" spans="1:13" hidden="1"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hidden="1"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hidden="1"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hidden="1"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hidden="1"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hidden="1"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hidden="1" x14ac:dyDescent="0.3">
      <c r="A6493" t="s">
        <v>17</v>
      </c>
      <c r="B6493">
        <v>6492</v>
      </c>
      <c r="C6493" t="s">
        <v>53</v>
      </c>
      <c r="D6493" t="s">
        <v>54</v>
      </c>
      <c r="E6493">
        <v>2018</v>
      </c>
      <c r="F6493" t="s">
        <v>138</v>
      </c>
      <c r="G6493" t="s">
        <v>14</v>
      </c>
      <c r="H6493" t="s">
        <v>26</v>
      </c>
      <c r="I6493" t="s">
        <v>40</v>
      </c>
      <c r="J6493">
        <v>5.7933643E-2</v>
      </c>
      <c r="L6493">
        <v>175.1738</v>
      </c>
      <c r="M6493">
        <v>4</v>
      </c>
    </row>
    <row r="6494" spans="1:13" hidden="1"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hidden="1" x14ac:dyDescent="0.3">
      <c r="A6495" t="s">
        <v>17</v>
      </c>
      <c r="B6495">
        <v>6494</v>
      </c>
      <c r="C6495" t="s">
        <v>1369</v>
      </c>
      <c r="D6495" t="s">
        <v>54</v>
      </c>
      <c r="E6495">
        <v>2018</v>
      </c>
      <c r="F6495" t="s">
        <v>138</v>
      </c>
      <c r="G6495" t="s">
        <v>14</v>
      </c>
      <c r="H6495" t="s">
        <v>26</v>
      </c>
      <c r="I6495" t="s">
        <v>40</v>
      </c>
      <c r="J6495">
        <v>0</v>
      </c>
      <c r="L6495">
        <v>196.8426</v>
      </c>
      <c r="M6495">
        <v>4</v>
      </c>
    </row>
    <row r="6496" spans="1:13" hidden="1"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hidden="1" x14ac:dyDescent="0.3">
      <c r="A6497" t="s">
        <v>17</v>
      </c>
      <c r="B6497">
        <v>6496</v>
      </c>
      <c r="C6497" t="s">
        <v>245</v>
      </c>
      <c r="D6497" t="s">
        <v>64</v>
      </c>
      <c r="E6497">
        <v>2018</v>
      </c>
      <c r="F6497" t="s">
        <v>138</v>
      </c>
      <c r="G6497" t="s">
        <v>14</v>
      </c>
      <c r="H6497" t="s">
        <v>26</v>
      </c>
      <c r="I6497" t="s">
        <v>40</v>
      </c>
      <c r="J6497">
        <v>0.194874778</v>
      </c>
      <c r="L6497">
        <v>110.2912</v>
      </c>
      <c r="M6497">
        <v>4</v>
      </c>
    </row>
    <row r="6498" spans="1:13" hidden="1"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hidden="1" x14ac:dyDescent="0.3">
      <c r="A6499" t="s">
        <v>17</v>
      </c>
      <c r="B6499">
        <v>6498</v>
      </c>
      <c r="C6499" t="s">
        <v>1404</v>
      </c>
      <c r="D6499" t="s">
        <v>48</v>
      </c>
      <c r="E6499">
        <v>2018</v>
      </c>
      <c r="F6499" t="s">
        <v>138</v>
      </c>
      <c r="G6499" t="s">
        <v>14</v>
      </c>
      <c r="H6499" t="s">
        <v>26</v>
      </c>
      <c r="I6499" t="s">
        <v>40</v>
      </c>
      <c r="J6499">
        <v>0.10391811300000001</v>
      </c>
      <c r="L6499">
        <v>100.67</v>
      </c>
      <c r="M6499">
        <v>4</v>
      </c>
    </row>
    <row r="6500" spans="1:13" hidden="1"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hidden="1"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hidden="1" x14ac:dyDescent="0.3">
      <c r="A6502" t="s">
        <v>17</v>
      </c>
      <c r="B6502">
        <v>6501</v>
      </c>
      <c r="C6502" t="s">
        <v>1354</v>
      </c>
      <c r="D6502" t="s">
        <v>48</v>
      </c>
      <c r="E6502">
        <v>2018</v>
      </c>
      <c r="F6502" t="s">
        <v>138</v>
      </c>
      <c r="G6502" t="s">
        <v>14</v>
      </c>
      <c r="H6502" t="s">
        <v>26</v>
      </c>
      <c r="I6502" t="s">
        <v>40</v>
      </c>
      <c r="J6502">
        <v>9.4957079E-2</v>
      </c>
      <c r="L6502">
        <v>143.5154</v>
      </c>
      <c r="M6502">
        <v>4</v>
      </c>
    </row>
    <row r="6503" spans="1:13" hidden="1"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hidden="1"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hidden="1"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hidden="1"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hidden="1" x14ac:dyDescent="0.3">
      <c r="A6507" t="s">
        <v>17</v>
      </c>
      <c r="B6507">
        <v>6506</v>
      </c>
      <c r="C6507" t="s">
        <v>389</v>
      </c>
      <c r="D6507" t="s">
        <v>48</v>
      </c>
      <c r="E6507">
        <v>2018</v>
      </c>
      <c r="F6507" t="s">
        <v>138</v>
      </c>
      <c r="G6507" t="s">
        <v>14</v>
      </c>
      <c r="H6507" t="s">
        <v>26</v>
      </c>
      <c r="I6507" t="s">
        <v>40</v>
      </c>
      <c r="J6507">
        <v>0.117091213</v>
      </c>
      <c r="L6507">
        <v>197.9084</v>
      </c>
      <c r="M6507">
        <v>4</v>
      </c>
    </row>
    <row r="6508" spans="1:13" hidden="1"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hidden="1"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hidden="1"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hidden="1"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hidden="1"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hidden="1"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hidden="1"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hidden="1" x14ac:dyDescent="0.3">
      <c r="A6515" t="s">
        <v>10</v>
      </c>
      <c r="B6515">
        <v>6514</v>
      </c>
      <c r="C6515" t="s">
        <v>431</v>
      </c>
      <c r="D6515" t="s">
        <v>95</v>
      </c>
      <c r="E6515">
        <v>2018</v>
      </c>
      <c r="F6515" t="s">
        <v>138</v>
      </c>
      <c r="G6515" t="s">
        <v>14</v>
      </c>
      <c r="H6515" t="s">
        <v>26</v>
      </c>
      <c r="I6515" t="s">
        <v>40</v>
      </c>
      <c r="J6515">
        <v>0</v>
      </c>
      <c r="L6515">
        <v>38.184800000000003</v>
      </c>
      <c r="M6515">
        <v>4</v>
      </c>
    </row>
    <row r="6516" spans="1:13" hidden="1" x14ac:dyDescent="0.3">
      <c r="A6516" t="s">
        <v>10</v>
      </c>
      <c r="B6516">
        <v>6515</v>
      </c>
      <c r="C6516" t="s">
        <v>1603</v>
      </c>
      <c r="D6516" t="s">
        <v>95</v>
      </c>
      <c r="E6516">
        <v>2018</v>
      </c>
      <c r="F6516" t="s">
        <v>138</v>
      </c>
      <c r="G6516" t="s">
        <v>14</v>
      </c>
      <c r="H6516" t="s">
        <v>26</v>
      </c>
      <c r="I6516" t="s">
        <v>40</v>
      </c>
      <c r="J6516">
        <v>0.191500528</v>
      </c>
      <c r="L6516">
        <v>121.2098</v>
      </c>
      <c r="M6516">
        <v>4</v>
      </c>
    </row>
    <row r="6517" spans="1:13" hidden="1"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hidden="1" x14ac:dyDescent="0.3">
      <c r="A6518" t="s">
        <v>10</v>
      </c>
      <c r="B6518">
        <v>6517</v>
      </c>
      <c r="C6518" t="s">
        <v>904</v>
      </c>
      <c r="D6518" t="s">
        <v>95</v>
      </c>
      <c r="E6518">
        <v>2018</v>
      </c>
      <c r="F6518" t="s">
        <v>138</v>
      </c>
      <c r="G6518" t="s">
        <v>14</v>
      </c>
      <c r="H6518" t="s">
        <v>26</v>
      </c>
      <c r="I6518" t="s">
        <v>40</v>
      </c>
      <c r="J6518">
        <v>0.18212836299999999</v>
      </c>
      <c r="L6518">
        <v>165.65</v>
      </c>
      <c r="M6518">
        <v>4</v>
      </c>
    </row>
    <row r="6519" spans="1:13" hidden="1"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hidden="1"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hidden="1"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hidden="1"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hidden="1"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hidden="1" x14ac:dyDescent="0.3">
      <c r="A6524" t="s">
        <v>10</v>
      </c>
      <c r="B6524">
        <v>6523</v>
      </c>
      <c r="C6524" t="s">
        <v>423</v>
      </c>
      <c r="D6524" t="s">
        <v>28</v>
      </c>
      <c r="E6524">
        <v>2018</v>
      </c>
      <c r="F6524" t="s">
        <v>138</v>
      </c>
      <c r="G6524" t="s">
        <v>14</v>
      </c>
      <c r="H6524" t="s">
        <v>26</v>
      </c>
      <c r="I6524" t="s">
        <v>40</v>
      </c>
      <c r="J6524">
        <v>0</v>
      </c>
      <c r="L6524">
        <v>92.311999999999998</v>
      </c>
      <c r="M6524">
        <v>4</v>
      </c>
    </row>
    <row r="6525" spans="1:13" hidden="1"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hidden="1" x14ac:dyDescent="0.3">
      <c r="A6526" t="s">
        <v>10</v>
      </c>
      <c r="B6526">
        <v>6525</v>
      </c>
      <c r="C6526" t="s">
        <v>677</v>
      </c>
      <c r="D6526" t="s">
        <v>28</v>
      </c>
      <c r="E6526">
        <v>2018</v>
      </c>
      <c r="F6526" t="s">
        <v>138</v>
      </c>
      <c r="G6526" t="s">
        <v>14</v>
      </c>
      <c r="H6526" t="s">
        <v>26</v>
      </c>
      <c r="I6526" t="s">
        <v>40</v>
      </c>
      <c r="J6526">
        <v>0</v>
      </c>
      <c r="L6526">
        <v>78.896000000000001</v>
      </c>
      <c r="M6526">
        <v>4</v>
      </c>
    </row>
    <row r="6527" spans="1:13" hidden="1"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hidden="1"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hidden="1"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hidden="1"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hidden="1"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hidden="1"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hidden="1"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hidden="1"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hidden="1" x14ac:dyDescent="0.3">
      <c r="A6535" t="s">
        <v>10</v>
      </c>
      <c r="B6535">
        <v>6534</v>
      </c>
      <c r="C6535" t="s">
        <v>1493</v>
      </c>
      <c r="D6535" t="s">
        <v>24</v>
      </c>
      <c r="E6535">
        <v>2018</v>
      </c>
      <c r="F6535" t="s">
        <v>138</v>
      </c>
      <c r="G6535" t="s">
        <v>14</v>
      </c>
      <c r="H6535" t="s">
        <v>26</v>
      </c>
      <c r="I6535" t="s">
        <v>40</v>
      </c>
      <c r="J6535">
        <v>0</v>
      </c>
      <c r="L6535">
        <v>230.0668</v>
      </c>
      <c r="M6535">
        <v>4</v>
      </c>
    </row>
    <row r="6536" spans="1:13" hidden="1"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hidden="1"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hidden="1"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hidden="1"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hidden="1"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hidden="1"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hidden="1" x14ac:dyDescent="0.3">
      <c r="A6542" t="s">
        <v>10</v>
      </c>
      <c r="B6542">
        <v>6541</v>
      </c>
      <c r="C6542" t="s">
        <v>1520</v>
      </c>
      <c r="D6542" t="s">
        <v>12</v>
      </c>
      <c r="E6542">
        <v>2018</v>
      </c>
      <c r="F6542" t="s">
        <v>138</v>
      </c>
      <c r="G6542" t="s">
        <v>14</v>
      </c>
      <c r="H6542" t="s">
        <v>26</v>
      </c>
      <c r="I6542" t="s">
        <v>40</v>
      </c>
      <c r="J6542">
        <v>0.214423791</v>
      </c>
      <c r="L6542">
        <v>111.6544</v>
      </c>
      <c r="M6542">
        <v>4</v>
      </c>
    </row>
    <row r="6543" spans="1:13" hidden="1"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hidden="1"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hidden="1"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hidden="1"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hidden="1"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hidden="1"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hidden="1" x14ac:dyDescent="0.3">
      <c r="A6549" t="s">
        <v>10</v>
      </c>
      <c r="B6549">
        <v>6548</v>
      </c>
      <c r="C6549" t="s">
        <v>400</v>
      </c>
      <c r="D6549" t="s">
        <v>12</v>
      </c>
      <c r="E6549">
        <v>2018</v>
      </c>
      <c r="F6549" t="s">
        <v>138</v>
      </c>
      <c r="G6549" t="s">
        <v>14</v>
      </c>
      <c r="H6549" t="s">
        <v>26</v>
      </c>
      <c r="I6549" t="s">
        <v>40</v>
      </c>
      <c r="J6549">
        <v>0</v>
      </c>
      <c r="L6549">
        <v>234.79580000000001</v>
      </c>
      <c r="M6549">
        <v>4</v>
      </c>
    </row>
    <row r="6550" spans="1:13" hidden="1"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hidden="1"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hidden="1" x14ac:dyDescent="0.3">
      <c r="A6552" t="s">
        <v>10</v>
      </c>
      <c r="B6552">
        <v>6551</v>
      </c>
      <c r="C6552" t="s">
        <v>1013</v>
      </c>
      <c r="D6552" t="s">
        <v>54</v>
      </c>
      <c r="E6552">
        <v>2018</v>
      </c>
      <c r="F6552" t="s">
        <v>138</v>
      </c>
      <c r="G6552" t="s">
        <v>14</v>
      </c>
      <c r="H6552" t="s">
        <v>26</v>
      </c>
      <c r="I6552" t="s">
        <v>40</v>
      </c>
      <c r="J6552">
        <v>0.277459381</v>
      </c>
      <c r="L6552">
        <v>156.3946</v>
      </c>
      <c r="M6552">
        <v>4</v>
      </c>
    </row>
    <row r="6553" spans="1:13" hidden="1"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hidden="1"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hidden="1"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hidden="1"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hidden="1" x14ac:dyDescent="0.3">
      <c r="A6557" t="s">
        <v>10</v>
      </c>
      <c r="B6557">
        <v>6556</v>
      </c>
      <c r="C6557" t="s">
        <v>1335</v>
      </c>
      <c r="D6557" t="s">
        <v>54</v>
      </c>
      <c r="E6557">
        <v>2018</v>
      </c>
      <c r="F6557" t="s">
        <v>138</v>
      </c>
      <c r="G6557" t="s">
        <v>14</v>
      </c>
      <c r="H6557" t="s">
        <v>26</v>
      </c>
      <c r="I6557" t="s">
        <v>40</v>
      </c>
      <c r="J6557">
        <v>1.9117392E-2</v>
      </c>
      <c r="L6557">
        <v>110.6544</v>
      </c>
      <c r="M6557">
        <v>4</v>
      </c>
    </row>
    <row r="6558" spans="1:13" hidden="1"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hidden="1" x14ac:dyDescent="0.3">
      <c r="A6559" t="s">
        <v>10</v>
      </c>
      <c r="B6559">
        <v>6558</v>
      </c>
      <c r="C6559" t="s">
        <v>193</v>
      </c>
      <c r="D6559" t="s">
        <v>153</v>
      </c>
      <c r="E6559">
        <v>2018</v>
      </c>
      <c r="F6559" t="s">
        <v>138</v>
      </c>
      <c r="G6559" t="s">
        <v>14</v>
      </c>
      <c r="H6559" t="s">
        <v>26</v>
      </c>
      <c r="I6559" t="s">
        <v>40</v>
      </c>
      <c r="J6559">
        <v>0.256152243</v>
      </c>
      <c r="L6559">
        <v>151.005</v>
      </c>
      <c r="M6559">
        <v>4</v>
      </c>
    </row>
    <row r="6560" spans="1:13" hidden="1"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hidden="1" x14ac:dyDescent="0.3">
      <c r="A6561" t="s">
        <v>10</v>
      </c>
      <c r="B6561">
        <v>6560</v>
      </c>
      <c r="C6561" t="s">
        <v>192</v>
      </c>
      <c r="D6561" t="s">
        <v>153</v>
      </c>
      <c r="E6561">
        <v>2018</v>
      </c>
      <c r="F6561" t="s">
        <v>138</v>
      </c>
      <c r="G6561" t="s">
        <v>14</v>
      </c>
      <c r="H6561" t="s">
        <v>26</v>
      </c>
      <c r="I6561" t="s">
        <v>40</v>
      </c>
      <c r="J6561">
        <v>0</v>
      </c>
      <c r="L6561">
        <v>184.35820000000001</v>
      </c>
      <c r="M6561">
        <v>4</v>
      </c>
    </row>
    <row r="6562" spans="1:13" hidden="1"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hidden="1"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hidden="1"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hidden="1"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hidden="1"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hidden="1"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hidden="1"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hidden="1" x14ac:dyDescent="0.3">
      <c r="A6569" t="s">
        <v>10</v>
      </c>
      <c r="B6569">
        <v>6568</v>
      </c>
      <c r="C6569" t="s">
        <v>960</v>
      </c>
      <c r="D6569" t="s">
        <v>32</v>
      </c>
      <c r="E6569">
        <v>2018</v>
      </c>
      <c r="F6569" t="s">
        <v>138</v>
      </c>
      <c r="G6569" t="s">
        <v>14</v>
      </c>
      <c r="H6569" t="s">
        <v>26</v>
      </c>
      <c r="I6569" t="s">
        <v>40</v>
      </c>
      <c r="J6569">
        <v>0.13511877</v>
      </c>
      <c r="L6569">
        <v>232.9958</v>
      </c>
      <c r="M6569">
        <v>4</v>
      </c>
    </row>
    <row r="6570" spans="1:13" hidden="1"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hidden="1"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hidden="1"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hidden="1"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hidden="1"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hidden="1" x14ac:dyDescent="0.3">
      <c r="A8249" t="s">
        <v>17</v>
      </c>
      <c r="B8249">
        <v>8248</v>
      </c>
      <c r="C8249" t="s">
        <v>662</v>
      </c>
      <c r="D8249" t="s">
        <v>57</v>
      </c>
      <c r="E8249">
        <v>2018</v>
      </c>
      <c r="F8249" t="s">
        <v>45</v>
      </c>
      <c r="G8249" t="s">
        <v>21</v>
      </c>
      <c r="H8249" t="s">
        <v>15</v>
      </c>
      <c r="I8249" t="s">
        <v>46</v>
      </c>
      <c r="J8249">
        <v>0</v>
      </c>
      <c r="L8249">
        <v>87.685599999999994</v>
      </c>
      <c r="M8249">
        <v>4</v>
      </c>
    </row>
    <row r="8250" spans="1:13" hidden="1"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hidden="1" x14ac:dyDescent="0.3">
      <c r="A8251" t="s">
        <v>17</v>
      </c>
      <c r="B8251">
        <v>8250</v>
      </c>
      <c r="C8251" t="s">
        <v>718</v>
      </c>
      <c r="D8251" t="s">
        <v>19</v>
      </c>
      <c r="E8251">
        <v>2018</v>
      </c>
      <c r="F8251" t="s">
        <v>45</v>
      </c>
      <c r="G8251" t="s">
        <v>21</v>
      </c>
      <c r="H8251" t="s">
        <v>15</v>
      </c>
      <c r="I8251" t="s">
        <v>46</v>
      </c>
      <c r="J8251">
        <v>0</v>
      </c>
      <c r="L8251">
        <v>64.216800000000006</v>
      </c>
      <c r="M8251">
        <v>4</v>
      </c>
    </row>
    <row r="8252" spans="1:13" hidden="1"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hidden="1" x14ac:dyDescent="0.3">
      <c r="A8253" t="s">
        <v>17</v>
      </c>
      <c r="B8253">
        <v>8252</v>
      </c>
      <c r="C8253" t="s">
        <v>1134</v>
      </c>
      <c r="D8253" t="s">
        <v>42</v>
      </c>
      <c r="E8253">
        <v>2018</v>
      </c>
      <c r="F8253" t="s">
        <v>45</v>
      </c>
      <c r="G8253" t="s">
        <v>21</v>
      </c>
      <c r="H8253" t="s">
        <v>15</v>
      </c>
      <c r="I8253" t="s">
        <v>46</v>
      </c>
      <c r="J8253">
        <v>0.102941345</v>
      </c>
      <c r="L8253">
        <v>171.2448</v>
      </c>
      <c r="M8253">
        <v>4</v>
      </c>
    </row>
    <row r="8254" spans="1:13" hidden="1" x14ac:dyDescent="0.3">
      <c r="A8254" t="s">
        <v>17</v>
      </c>
      <c r="B8254">
        <v>8253</v>
      </c>
      <c r="C8254" t="s">
        <v>75</v>
      </c>
      <c r="D8254" t="s">
        <v>42</v>
      </c>
      <c r="E8254">
        <v>2018</v>
      </c>
      <c r="F8254" t="s">
        <v>45</v>
      </c>
      <c r="G8254" t="s">
        <v>21</v>
      </c>
      <c r="H8254" t="s">
        <v>15</v>
      </c>
      <c r="I8254" t="s">
        <v>46</v>
      </c>
      <c r="J8254">
        <v>8.0249973000000002E-2</v>
      </c>
      <c r="L8254">
        <v>168.679</v>
      </c>
      <c r="M8254">
        <v>4</v>
      </c>
    </row>
    <row r="8255" spans="1:13" hidden="1"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hidden="1"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hidden="1"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hidden="1"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hidden="1"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hidden="1"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hidden="1"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hidden="1"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hidden="1"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hidden="1"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hidden="1"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hidden="1" x14ac:dyDescent="0.3">
      <c r="A8266" t="s">
        <v>17</v>
      </c>
      <c r="B8266">
        <v>8265</v>
      </c>
      <c r="C8266" t="s">
        <v>453</v>
      </c>
      <c r="D8266" t="s">
        <v>95</v>
      </c>
      <c r="E8266">
        <v>2018</v>
      </c>
      <c r="F8266" t="s">
        <v>45</v>
      </c>
      <c r="G8266" t="s">
        <v>21</v>
      </c>
      <c r="H8266" t="s">
        <v>15</v>
      </c>
      <c r="I8266" t="s">
        <v>46</v>
      </c>
      <c r="J8266">
        <v>3.5239270000000003E-2</v>
      </c>
      <c r="L8266">
        <v>231.601</v>
      </c>
      <c r="M8266">
        <v>4</v>
      </c>
    </row>
    <row r="8267" spans="1:13" hidden="1"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hidden="1" x14ac:dyDescent="0.3">
      <c r="A8268" t="s">
        <v>17</v>
      </c>
      <c r="B8268">
        <v>8267</v>
      </c>
      <c r="C8268" t="s">
        <v>986</v>
      </c>
      <c r="D8268" t="s">
        <v>95</v>
      </c>
      <c r="E8268">
        <v>2018</v>
      </c>
      <c r="F8268" t="s">
        <v>45</v>
      </c>
      <c r="G8268" t="s">
        <v>21</v>
      </c>
      <c r="H8268" t="s">
        <v>15</v>
      </c>
      <c r="I8268" t="s">
        <v>46</v>
      </c>
      <c r="J8268">
        <v>0</v>
      </c>
      <c r="L8268">
        <v>100.1384</v>
      </c>
      <c r="M8268">
        <v>4</v>
      </c>
    </row>
    <row r="8269" spans="1:13" hidden="1" x14ac:dyDescent="0.3">
      <c r="A8269" t="s">
        <v>17</v>
      </c>
      <c r="B8269">
        <v>8268</v>
      </c>
      <c r="C8269" t="s">
        <v>1471</v>
      </c>
      <c r="D8269" t="s">
        <v>95</v>
      </c>
      <c r="E8269">
        <v>2018</v>
      </c>
      <c r="F8269" t="s">
        <v>45</v>
      </c>
      <c r="G8269" t="s">
        <v>21</v>
      </c>
      <c r="H8269" t="s">
        <v>15</v>
      </c>
      <c r="I8269" t="s">
        <v>46</v>
      </c>
      <c r="J8269">
        <v>9.3649570000000001E-3</v>
      </c>
      <c r="L8269">
        <v>74.238</v>
      </c>
      <c r="M8269">
        <v>4</v>
      </c>
    </row>
    <row r="8270" spans="1:13" hidden="1"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hidden="1"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hidden="1"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hidden="1"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hidden="1"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hidden="1"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hidden="1"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hidden="1"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hidden="1"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hidden="1"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hidden="1"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hidden="1"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hidden="1"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hidden="1" x14ac:dyDescent="0.3">
      <c r="A8283" t="s">
        <v>17</v>
      </c>
      <c r="B8283">
        <v>8282</v>
      </c>
      <c r="C8283" t="s">
        <v>97</v>
      </c>
      <c r="D8283" t="s">
        <v>28</v>
      </c>
      <c r="E8283">
        <v>2018</v>
      </c>
      <c r="F8283" t="s">
        <v>45</v>
      </c>
      <c r="G8283" t="s">
        <v>21</v>
      </c>
      <c r="H8283" t="s">
        <v>15</v>
      </c>
      <c r="I8283" t="s">
        <v>46</v>
      </c>
      <c r="J8283">
        <v>2.4047319000000001E-2</v>
      </c>
      <c r="L8283">
        <v>115.515</v>
      </c>
      <c r="M8283">
        <v>4</v>
      </c>
    </row>
    <row r="8284" spans="1:13" hidden="1" x14ac:dyDescent="0.3">
      <c r="A8284" t="s">
        <v>17</v>
      </c>
      <c r="B8284">
        <v>8283</v>
      </c>
      <c r="C8284" t="s">
        <v>875</v>
      </c>
      <c r="D8284" t="s">
        <v>28</v>
      </c>
      <c r="E8284">
        <v>2018</v>
      </c>
      <c r="F8284" t="s">
        <v>45</v>
      </c>
      <c r="G8284" t="s">
        <v>21</v>
      </c>
      <c r="H8284" t="s">
        <v>15</v>
      </c>
      <c r="I8284" t="s">
        <v>46</v>
      </c>
      <c r="J8284">
        <v>6.2724116999999996E-2</v>
      </c>
      <c r="L8284">
        <v>100.57</v>
      </c>
      <c r="M8284">
        <v>4</v>
      </c>
    </row>
    <row r="8285" spans="1:13" hidden="1"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hidden="1"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hidden="1"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hidden="1"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hidden="1" x14ac:dyDescent="0.3">
      <c r="A8289" t="s">
        <v>17</v>
      </c>
      <c r="B8289">
        <v>8288</v>
      </c>
      <c r="C8289" t="s">
        <v>1517</v>
      </c>
      <c r="D8289" t="s">
        <v>67</v>
      </c>
      <c r="E8289">
        <v>2018</v>
      </c>
      <c r="F8289" t="s">
        <v>45</v>
      </c>
      <c r="G8289" t="s">
        <v>21</v>
      </c>
      <c r="H8289" t="s">
        <v>15</v>
      </c>
      <c r="I8289" t="s">
        <v>46</v>
      </c>
      <c r="J8289">
        <v>5.3211728E-2</v>
      </c>
      <c r="L8289">
        <v>177.6002</v>
      </c>
      <c r="M8289">
        <v>4</v>
      </c>
    </row>
    <row r="8290" spans="1:13" hidden="1" x14ac:dyDescent="0.3">
      <c r="A8290" t="s">
        <v>17</v>
      </c>
      <c r="B8290">
        <v>8289</v>
      </c>
      <c r="C8290" t="s">
        <v>535</v>
      </c>
      <c r="D8290" t="s">
        <v>67</v>
      </c>
      <c r="E8290">
        <v>2018</v>
      </c>
      <c r="F8290" t="s">
        <v>45</v>
      </c>
      <c r="G8290" t="s">
        <v>21</v>
      </c>
      <c r="H8290" t="s">
        <v>15</v>
      </c>
      <c r="I8290" t="s">
        <v>46</v>
      </c>
      <c r="J8290">
        <v>0.101281</v>
      </c>
      <c r="L8290">
        <v>55.095599999999997</v>
      </c>
      <c r="M8290">
        <v>4</v>
      </c>
    </row>
    <row r="8291" spans="1:13" hidden="1"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hidden="1"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hidden="1"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hidden="1" x14ac:dyDescent="0.3">
      <c r="A8294" t="s">
        <v>17</v>
      </c>
      <c r="B8294">
        <v>8293</v>
      </c>
      <c r="C8294" t="s">
        <v>777</v>
      </c>
      <c r="D8294" t="s">
        <v>67</v>
      </c>
      <c r="E8294">
        <v>2018</v>
      </c>
      <c r="F8294" t="s">
        <v>45</v>
      </c>
      <c r="G8294" t="s">
        <v>21</v>
      </c>
      <c r="H8294" t="s">
        <v>15</v>
      </c>
      <c r="I8294" t="s">
        <v>46</v>
      </c>
      <c r="J8294">
        <v>2.0769677E-2</v>
      </c>
      <c r="L8294">
        <v>117.5782</v>
      </c>
      <c r="M8294">
        <v>4</v>
      </c>
    </row>
    <row r="8295" spans="1:13" hidden="1" x14ac:dyDescent="0.3">
      <c r="A8295" t="s">
        <v>17</v>
      </c>
      <c r="B8295">
        <v>8294</v>
      </c>
      <c r="C8295" t="s">
        <v>1018</v>
      </c>
      <c r="D8295" t="s">
        <v>24</v>
      </c>
      <c r="E8295">
        <v>2018</v>
      </c>
      <c r="F8295" t="s">
        <v>45</v>
      </c>
      <c r="G8295" t="s">
        <v>21</v>
      </c>
      <c r="H8295" t="s">
        <v>15</v>
      </c>
      <c r="I8295" t="s">
        <v>46</v>
      </c>
      <c r="J8295">
        <v>5.4720642E-2</v>
      </c>
      <c r="L8295">
        <v>107.8254</v>
      </c>
      <c r="M8295">
        <v>4</v>
      </c>
    </row>
    <row r="8296" spans="1:13" hidden="1"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hidden="1"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hidden="1"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hidden="1"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hidden="1" x14ac:dyDescent="0.3">
      <c r="A8300" t="s">
        <v>17</v>
      </c>
      <c r="B8300">
        <v>8299</v>
      </c>
      <c r="C8300" t="s">
        <v>167</v>
      </c>
      <c r="D8300" t="s">
        <v>24</v>
      </c>
      <c r="E8300">
        <v>2018</v>
      </c>
      <c r="F8300" t="s">
        <v>45</v>
      </c>
      <c r="G8300" t="s">
        <v>21</v>
      </c>
      <c r="H8300" t="s">
        <v>15</v>
      </c>
      <c r="I8300" t="s">
        <v>46</v>
      </c>
      <c r="J8300">
        <v>2.6740766999999999E-2</v>
      </c>
      <c r="L8300">
        <v>261.291</v>
      </c>
      <c r="M8300">
        <v>4</v>
      </c>
    </row>
    <row r="8301" spans="1:13" hidden="1"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hidden="1"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hidden="1" x14ac:dyDescent="0.3">
      <c r="A8303" t="s">
        <v>17</v>
      </c>
      <c r="B8303">
        <v>8302</v>
      </c>
      <c r="C8303" t="s">
        <v>229</v>
      </c>
      <c r="D8303" t="s">
        <v>24</v>
      </c>
      <c r="E8303">
        <v>2018</v>
      </c>
      <c r="F8303" t="s">
        <v>45</v>
      </c>
      <c r="G8303" t="s">
        <v>21</v>
      </c>
      <c r="H8303" t="s">
        <v>15</v>
      </c>
      <c r="I8303" t="s">
        <v>46</v>
      </c>
      <c r="J8303">
        <v>0</v>
      </c>
      <c r="L8303">
        <v>190.9162</v>
      </c>
      <c r="M8303">
        <v>4</v>
      </c>
    </row>
    <row r="8304" spans="1:13" hidden="1"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hidden="1"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hidden="1"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hidden="1"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hidden="1" x14ac:dyDescent="0.3">
      <c r="A8308" t="s">
        <v>17</v>
      </c>
      <c r="B8308">
        <v>8307</v>
      </c>
      <c r="C8308" t="s">
        <v>1144</v>
      </c>
      <c r="D8308" t="s">
        <v>24</v>
      </c>
      <c r="E8308">
        <v>2018</v>
      </c>
      <c r="F8308" t="s">
        <v>45</v>
      </c>
      <c r="G8308" t="s">
        <v>21</v>
      </c>
      <c r="H8308" t="s">
        <v>15</v>
      </c>
      <c r="I8308" t="s">
        <v>46</v>
      </c>
      <c r="J8308">
        <v>1.1556919000000001E-2</v>
      </c>
      <c r="L8308">
        <v>94.741</v>
      </c>
      <c r="M8308">
        <v>4</v>
      </c>
    </row>
    <row r="8309" spans="1:13" hidden="1"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hidden="1"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hidden="1" x14ac:dyDescent="0.3">
      <c r="A8311" t="s">
        <v>17</v>
      </c>
      <c r="B8311">
        <v>8310</v>
      </c>
      <c r="C8311" t="s">
        <v>738</v>
      </c>
      <c r="D8311" t="s">
        <v>24</v>
      </c>
      <c r="E8311">
        <v>2018</v>
      </c>
      <c r="F8311" t="s">
        <v>45</v>
      </c>
      <c r="G8311" t="s">
        <v>21</v>
      </c>
      <c r="H8311" t="s">
        <v>15</v>
      </c>
      <c r="I8311" t="s">
        <v>46</v>
      </c>
      <c r="J8311">
        <v>0.118806857</v>
      </c>
      <c r="L8311">
        <v>248.8434</v>
      </c>
      <c r="M8311">
        <v>4</v>
      </c>
    </row>
    <row r="8312" spans="1:13" hidden="1"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hidden="1" x14ac:dyDescent="0.3">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hidden="1"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hidden="1" x14ac:dyDescent="0.3">
      <c r="A8316" t="s">
        <v>17</v>
      </c>
      <c r="B8316">
        <v>8315</v>
      </c>
      <c r="C8316" t="s">
        <v>1168</v>
      </c>
      <c r="D8316" t="s">
        <v>12</v>
      </c>
      <c r="E8316">
        <v>2018</v>
      </c>
      <c r="F8316" t="s">
        <v>45</v>
      </c>
      <c r="G8316" t="s">
        <v>21</v>
      </c>
      <c r="H8316" t="s">
        <v>15</v>
      </c>
      <c r="I8316" t="s">
        <v>46</v>
      </c>
      <c r="J8316">
        <v>0</v>
      </c>
      <c r="L8316">
        <v>242.9854</v>
      </c>
      <c r="M8316">
        <v>4</v>
      </c>
    </row>
    <row r="8317" spans="1:13" hidden="1"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hidden="1" x14ac:dyDescent="0.3">
      <c r="A8318" t="s">
        <v>17</v>
      </c>
      <c r="B8318">
        <v>8317</v>
      </c>
      <c r="C8318" t="s">
        <v>1169</v>
      </c>
      <c r="D8318" t="s">
        <v>12</v>
      </c>
      <c r="E8318">
        <v>2018</v>
      </c>
      <c r="F8318" t="s">
        <v>45</v>
      </c>
      <c r="G8318" t="s">
        <v>21</v>
      </c>
      <c r="H8318" t="s">
        <v>15</v>
      </c>
      <c r="I8318" t="s">
        <v>46</v>
      </c>
      <c r="J8318">
        <v>2.1392306E-2</v>
      </c>
      <c r="L8318">
        <v>182.0976</v>
      </c>
      <c r="M8318">
        <v>4</v>
      </c>
    </row>
    <row r="8319" spans="1:13" hidden="1" x14ac:dyDescent="0.3">
      <c r="A8319" t="s">
        <v>17</v>
      </c>
      <c r="B8319">
        <v>8318</v>
      </c>
      <c r="C8319" t="s">
        <v>1447</v>
      </c>
      <c r="D8319" t="s">
        <v>12</v>
      </c>
      <c r="E8319">
        <v>2018</v>
      </c>
      <c r="F8319" t="s">
        <v>45</v>
      </c>
      <c r="G8319" t="s">
        <v>21</v>
      </c>
      <c r="H8319" t="s">
        <v>15</v>
      </c>
      <c r="I8319" t="s">
        <v>46</v>
      </c>
      <c r="J8319">
        <v>0</v>
      </c>
      <c r="L8319">
        <v>115.3492</v>
      </c>
      <c r="M8319">
        <v>4</v>
      </c>
    </row>
    <row r="8320" spans="1:13" hidden="1" x14ac:dyDescent="0.3">
      <c r="A8320" t="s">
        <v>17</v>
      </c>
      <c r="B8320">
        <v>8319</v>
      </c>
      <c r="C8320" t="s">
        <v>447</v>
      </c>
      <c r="D8320" t="s">
        <v>12</v>
      </c>
      <c r="E8320">
        <v>2018</v>
      </c>
      <c r="F8320" t="s">
        <v>45</v>
      </c>
      <c r="G8320" t="s">
        <v>21</v>
      </c>
      <c r="H8320" t="s">
        <v>15</v>
      </c>
      <c r="I8320" t="s">
        <v>46</v>
      </c>
      <c r="J8320">
        <v>3.3059299E-2</v>
      </c>
      <c r="L8320">
        <v>196.4768</v>
      </c>
      <c r="M8320">
        <v>4</v>
      </c>
    </row>
    <row r="8321" spans="1:13" hidden="1"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hidden="1" x14ac:dyDescent="0.3">
      <c r="A8322" t="s">
        <v>17</v>
      </c>
      <c r="B8322">
        <v>8321</v>
      </c>
      <c r="C8322" t="s">
        <v>1238</v>
      </c>
      <c r="D8322" t="s">
        <v>12</v>
      </c>
      <c r="E8322">
        <v>2018</v>
      </c>
      <c r="F8322" t="s">
        <v>45</v>
      </c>
      <c r="G8322" t="s">
        <v>21</v>
      </c>
      <c r="H8322" t="s">
        <v>15</v>
      </c>
      <c r="I8322" t="s">
        <v>46</v>
      </c>
      <c r="J8322">
        <v>0.173529036</v>
      </c>
      <c r="L8322">
        <v>113.2834</v>
      </c>
      <c r="M8322">
        <v>4</v>
      </c>
    </row>
    <row r="8323" spans="1:13" hidden="1"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hidden="1"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hidden="1"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hidden="1"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hidden="1"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hidden="1"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hidden="1"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hidden="1"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hidden="1"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hidden="1"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hidden="1"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hidden="1"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hidden="1"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hidden="1"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hidden="1"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hidden="1"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hidden="1" x14ac:dyDescent="0.3">
      <c r="A8339" t="s">
        <v>17</v>
      </c>
      <c r="B8339">
        <v>8338</v>
      </c>
      <c r="C8339" t="s">
        <v>497</v>
      </c>
      <c r="D8339" t="s">
        <v>19</v>
      </c>
      <c r="E8339">
        <v>2018</v>
      </c>
      <c r="F8339" t="s">
        <v>45</v>
      </c>
      <c r="G8339" t="s">
        <v>21</v>
      </c>
      <c r="H8339" t="s">
        <v>15</v>
      </c>
      <c r="I8339" t="s">
        <v>46</v>
      </c>
      <c r="J8339">
        <v>0</v>
      </c>
      <c r="L8339">
        <v>37.3506</v>
      </c>
      <c r="M8339">
        <v>4</v>
      </c>
    </row>
    <row r="8340" spans="1:13" hidden="1" x14ac:dyDescent="0.3">
      <c r="A8340" t="s">
        <v>17</v>
      </c>
      <c r="B8340">
        <v>8339</v>
      </c>
      <c r="C8340" t="s">
        <v>992</v>
      </c>
      <c r="D8340" t="s">
        <v>19</v>
      </c>
      <c r="E8340">
        <v>2018</v>
      </c>
      <c r="F8340" t="s">
        <v>45</v>
      </c>
      <c r="G8340" t="s">
        <v>21</v>
      </c>
      <c r="H8340" t="s">
        <v>15</v>
      </c>
      <c r="I8340" t="s">
        <v>46</v>
      </c>
      <c r="J8340">
        <v>0</v>
      </c>
      <c r="L8340">
        <v>100.80419999999999</v>
      </c>
      <c r="M8340">
        <v>4</v>
      </c>
    </row>
    <row r="8341" spans="1:13" hidden="1" x14ac:dyDescent="0.3">
      <c r="A8341" t="s">
        <v>17</v>
      </c>
      <c r="B8341">
        <v>8340</v>
      </c>
      <c r="C8341" t="s">
        <v>473</v>
      </c>
      <c r="D8341" t="s">
        <v>19</v>
      </c>
      <c r="E8341">
        <v>2018</v>
      </c>
      <c r="F8341" t="s">
        <v>45</v>
      </c>
      <c r="G8341" t="s">
        <v>21</v>
      </c>
      <c r="H8341" t="s">
        <v>15</v>
      </c>
      <c r="I8341" t="s">
        <v>46</v>
      </c>
      <c r="J8341">
        <v>4.7665717000000003E-2</v>
      </c>
      <c r="L8341">
        <v>42.177</v>
      </c>
      <c r="M8341">
        <v>4</v>
      </c>
    </row>
    <row r="8342" spans="1:13" hidden="1"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hidden="1"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hidden="1"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hidden="1" x14ac:dyDescent="0.3">
      <c r="A8345" t="s">
        <v>17</v>
      </c>
      <c r="B8345">
        <v>8344</v>
      </c>
      <c r="C8345" t="s">
        <v>238</v>
      </c>
      <c r="D8345" t="s">
        <v>19</v>
      </c>
      <c r="E8345">
        <v>2018</v>
      </c>
      <c r="F8345" t="s">
        <v>45</v>
      </c>
      <c r="G8345" t="s">
        <v>21</v>
      </c>
      <c r="H8345" t="s">
        <v>15</v>
      </c>
      <c r="I8345" t="s">
        <v>46</v>
      </c>
      <c r="J8345">
        <v>0</v>
      </c>
      <c r="L8345">
        <v>152.07079999999999</v>
      </c>
      <c r="M8345">
        <v>4</v>
      </c>
    </row>
    <row r="8346" spans="1:13" hidden="1"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hidden="1" x14ac:dyDescent="0.3">
      <c r="A8347" t="s">
        <v>17</v>
      </c>
      <c r="B8347">
        <v>8346</v>
      </c>
      <c r="C8347" t="s">
        <v>211</v>
      </c>
      <c r="D8347" t="s">
        <v>19</v>
      </c>
      <c r="E8347">
        <v>2018</v>
      </c>
      <c r="F8347" t="s">
        <v>45</v>
      </c>
      <c r="G8347" t="s">
        <v>21</v>
      </c>
      <c r="H8347" t="s">
        <v>15</v>
      </c>
      <c r="I8347" t="s">
        <v>46</v>
      </c>
      <c r="J8347">
        <v>2.426524E-2</v>
      </c>
      <c r="L8347">
        <v>114.0492</v>
      </c>
      <c r="M8347">
        <v>4</v>
      </c>
    </row>
    <row r="8348" spans="1:13" hidden="1"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hidden="1"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hidden="1"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hidden="1"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hidden="1"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hidden="1"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hidden="1"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hidden="1"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hidden="1"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hidden="1"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hidden="1"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hidden="1"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hidden="1"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hidden="1"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hidden="1" x14ac:dyDescent="0.3">
      <c r="A8362" t="s">
        <v>17</v>
      </c>
      <c r="B8362">
        <v>8361</v>
      </c>
      <c r="C8362" t="s">
        <v>1151</v>
      </c>
      <c r="D8362" t="s">
        <v>42</v>
      </c>
      <c r="E8362">
        <v>2018</v>
      </c>
      <c r="F8362" t="s">
        <v>45</v>
      </c>
      <c r="G8362" t="s">
        <v>21</v>
      </c>
      <c r="H8362" t="s">
        <v>15</v>
      </c>
      <c r="I8362" t="s">
        <v>46</v>
      </c>
      <c r="J8362">
        <v>8.8551694E-2</v>
      </c>
      <c r="L8362">
        <v>191.5504</v>
      </c>
      <c r="M8362">
        <v>4</v>
      </c>
    </row>
    <row r="8363" spans="1:13" hidden="1"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hidden="1"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hidden="1"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hidden="1" x14ac:dyDescent="0.3">
      <c r="A8366" t="s">
        <v>17</v>
      </c>
      <c r="B8366">
        <v>8365</v>
      </c>
      <c r="C8366" t="s">
        <v>930</v>
      </c>
      <c r="D8366" t="s">
        <v>42</v>
      </c>
      <c r="E8366">
        <v>2018</v>
      </c>
      <c r="F8366" t="s">
        <v>45</v>
      </c>
      <c r="G8366" t="s">
        <v>21</v>
      </c>
      <c r="H8366" t="s">
        <v>15</v>
      </c>
      <c r="I8366" t="s">
        <v>46</v>
      </c>
      <c r="J8366">
        <v>3.6360386000000001E-2</v>
      </c>
      <c r="L8366">
        <v>231.601</v>
      </c>
      <c r="M8366">
        <v>4</v>
      </c>
    </row>
    <row r="8367" spans="1:13" hidden="1"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hidden="1"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hidden="1" x14ac:dyDescent="0.3">
      <c r="A8369" t="s">
        <v>17</v>
      </c>
      <c r="B8369">
        <v>8368</v>
      </c>
      <c r="C8369" t="s">
        <v>672</v>
      </c>
      <c r="D8369" t="s">
        <v>42</v>
      </c>
      <c r="E8369">
        <v>2018</v>
      </c>
      <c r="F8369" t="s">
        <v>45</v>
      </c>
      <c r="G8369" t="s">
        <v>21</v>
      </c>
      <c r="H8369" t="s">
        <v>15</v>
      </c>
      <c r="I8369" t="s">
        <v>46</v>
      </c>
      <c r="J8369">
        <v>2.6938317E-2</v>
      </c>
      <c r="L8369">
        <v>174.1396</v>
      </c>
      <c r="M8369">
        <v>4</v>
      </c>
    </row>
    <row r="8370" spans="1:13" hidden="1"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hidden="1"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hidden="1"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hidden="1"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hidden="1"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hidden="1" x14ac:dyDescent="0.3">
      <c r="A8375" t="s">
        <v>17</v>
      </c>
      <c r="B8375">
        <v>8374</v>
      </c>
      <c r="C8375" t="s">
        <v>742</v>
      </c>
      <c r="D8375" t="s">
        <v>42</v>
      </c>
      <c r="E8375">
        <v>2018</v>
      </c>
      <c r="F8375" t="s">
        <v>45</v>
      </c>
      <c r="G8375" t="s">
        <v>21</v>
      </c>
      <c r="H8375" t="s">
        <v>15</v>
      </c>
      <c r="I8375" t="s">
        <v>46</v>
      </c>
      <c r="J8375">
        <v>0</v>
      </c>
      <c r="L8375">
        <v>115.2176</v>
      </c>
      <c r="M8375">
        <v>4</v>
      </c>
    </row>
    <row r="8376" spans="1:13" hidden="1"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hidden="1"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hidden="1"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hidden="1"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hidden="1"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hidden="1"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hidden="1" x14ac:dyDescent="0.3">
      <c r="A8382" t="s">
        <v>17</v>
      </c>
      <c r="B8382">
        <v>8381</v>
      </c>
      <c r="C8382" t="s">
        <v>996</v>
      </c>
      <c r="D8382" t="s">
        <v>42</v>
      </c>
      <c r="E8382">
        <v>2018</v>
      </c>
      <c r="F8382" t="s">
        <v>45</v>
      </c>
      <c r="G8382" t="s">
        <v>21</v>
      </c>
      <c r="H8382" t="s">
        <v>15</v>
      </c>
      <c r="I8382" t="s">
        <v>46</v>
      </c>
      <c r="J8382">
        <v>0.176834351</v>
      </c>
      <c r="L8382">
        <v>172.1422</v>
      </c>
      <c r="M8382">
        <v>4</v>
      </c>
    </row>
    <row r="8383" spans="1:13" hidden="1" x14ac:dyDescent="0.3">
      <c r="A8383" t="s">
        <v>17</v>
      </c>
      <c r="B8383">
        <v>8382</v>
      </c>
      <c r="C8383" t="s">
        <v>565</v>
      </c>
      <c r="D8383" t="s">
        <v>54</v>
      </c>
      <c r="E8383">
        <v>2018</v>
      </c>
      <c r="F8383" t="s">
        <v>45</v>
      </c>
      <c r="G8383" t="s">
        <v>21</v>
      </c>
      <c r="H8383" t="s">
        <v>15</v>
      </c>
      <c r="I8383" t="s">
        <v>46</v>
      </c>
      <c r="J8383">
        <v>1.4353675999999999E-2</v>
      </c>
      <c r="L8383">
        <v>115.515</v>
      </c>
      <c r="M8383">
        <v>4</v>
      </c>
    </row>
    <row r="8384" spans="1:13" hidden="1" x14ac:dyDescent="0.3">
      <c r="A8384" t="s">
        <v>17</v>
      </c>
      <c r="B8384">
        <v>8383</v>
      </c>
      <c r="C8384" t="s">
        <v>1117</v>
      </c>
      <c r="D8384" t="s">
        <v>54</v>
      </c>
      <c r="E8384">
        <v>2018</v>
      </c>
      <c r="F8384" t="s">
        <v>45</v>
      </c>
      <c r="G8384" t="s">
        <v>21</v>
      </c>
      <c r="H8384" t="s">
        <v>15</v>
      </c>
      <c r="I8384" t="s">
        <v>46</v>
      </c>
      <c r="J8384">
        <v>3.9370913E-2</v>
      </c>
      <c r="L8384">
        <v>116.9808</v>
      </c>
      <c r="M8384">
        <v>4</v>
      </c>
    </row>
    <row r="8385" spans="1:13" hidden="1" x14ac:dyDescent="0.3">
      <c r="A8385" t="s">
        <v>17</v>
      </c>
      <c r="B8385">
        <v>8384</v>
      </c>
      <c r="C8385" t="s">
        <v>861</v>
      </c>
      <c r="D8385" t="s">
        <v>54</v>
      </c>
      <c r="E8385">
        <v>2018</v>
      </c>
      <c r="F8385" t="s">
        <v>45</v>
      </c>
      <c r="G8385" t="s">
        <v>21</v>
      </c>
      <c r="H8385" t="s">
        <v>15</v>
      </c>
      <c r="I8385" t="s">
        <v>46</v>
      </c>
      <c r="J8385">
        <v>6.9088769999999994E-2</v>
      </c>
      <c r="L8385">
        <v>52.3324</v>
      </c>
      <c r="M8385">
        <v>4</v>
      </c>
    </row>
    <row r="8386" spans="1:13" hidden="1" x14ac:dyDescent="0.3">
      <c r="A8386" t="s">
        <v>17</v>
      </c>
      <c r="B8386">
        <v>8385</v>
      </c>
      <c r="C8386" t="s">
        <v>631</v>
      </c>
      <c r="D8386" t="s">
        <v>64</v>
      </c>
      <c r="E8386">
        <v>2018</v>
      </c>
      <c r="F8386" t="s">
        <v>45</v>
      </c>
      <c r="G8386" t="s">
        <v>21</v>
      </c>
      <c r="H8386" t="s">
        <v>15</v>
      </c>
      <c r="I8386" t="s">
        <v>46</v>
      </c>
      <c r="J8386">
        <v>6.7270079999999996E-3</v>
      </c>
      <c r="L8386">
        <v>125.173</v>
      </c>
      <c r="M8386">
        <v>4</v>
      </c>
    </row>
    <row r="8387" spans="1:13" hidden="1"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hidden="1" x14ac:dyDescent="0.3">
      <c r="A8388" t="s">
        <v>17</v>
      </c>
      <c r="B8388">
        <v>8387</v>
      </c>
      <c r="C8388" t="s">
        <v>1299</v>
      </c>
      <c r="D8388" t="s">
        <v>153</v>
      </c>
      <c r="E8388">
        <v>2018</v>
      </c>
      <c r="F8388" t="s">
        <v>45</v>
      </c>
      <c r="G8388" t="s">
        <v>21</v>
      </c>
      <c r="H8388" t="s">
        <v>15</v>
      </c>
      <c r="I8388" t="s">
        <v>46</v>
      </c>
      <c r="J8388">
        <v>0</v>
      </c>
      <c r="L8388">
        <v>109.45959999999999</v>
      </c>
      <c r="M8388">
        <v>4</v>
      </c>
    </row>
    <row r="8389" spans="1:13" hidden="1"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hidden="1"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hidden="1" x14ac:dyDescent="0.3">
      <c r="A8391" t="s">
        <v>17</v>
      </c>
      <c r="B8391">
        <v>8390</v>
      </c>
      <c r="C8391" t="s">
        <v>469</v>
      </c>
      <c r="D8391" t="s">
        <v>48</v>
      </c>
      <c r="E8391">
        <v>2018</v>
      </c>
      <c r="F8391" t="s">
        <v>45</v>
      </c>
      <c r="G8391" t="s">
        <v>21</v>
      </c>
      <c r="H8391" t="s">
        <v>15</v>
      </c>
      <c r="I8391" t="s">
        <v>46</v>
      </c>
      <c r="J8391">
        <v>9.3217569E-2</v>
      </c>
      <c r="L8391">
        <v>116.7834</v>
      </c>
      <c r="M8391">
        <v>4</v>
      </c>
    </row>
    <row r="8392" spans="1:13" hidden="1" x14ac:dyDescent="0.3">
      <c r="A8392" t="s">
        <v>17</v>
      </c>
      <c r="B8392">
        <v>8391</v>
      </c>
      <c r="C8392" t="s">
        <v>1042</v>
      </c>
      <c r="D8392" t="s">
        <v>48</v>
      </c>
      <c r="E8392">
        <v>2018</v>
      </c>
      <c r="F8392" t="s">
        <v>45</v>
      </c>
      <c r="G8392" t="s">
        <v>21</v>
      </c>
      <c r="H8392" t="s">
        <v>15</v>
      </c>
      <c r="I8392" t="s">
        <v>46</v>
      </c>
      <c r="J8392">
        <v>0</v>
      </c>
      <c r="L8392">
        <v>44.142800000000001</v>
      </c>
      <c r="M8392">
        <v>4</v>
      </c>
    </row>
    <row r="8393" spans="1:13" hidden="1"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hidden="1"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hidden="1"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hidden="1"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hidden="1"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hidden="1"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hidden="1" x14ac:dyDescent="0.3">
      <c r="A8399" t="s">
        <v>17</v>
      </c>
      <c r="B8399">
        <v>8398</v>
      </c>
      <c r="C8399" t="s">
        <v>615</v>
      </c>
      <c r="D8399" t="s">
        <v>48</v>
      </c>
      <c r="E8399">
        <v>2018</v>
      </c>
      <c r="F8399" t="s">
        <v>45</v>
      </c>
      <c r="G8399" t="s">
        <v>21</v>
      </c>
      <c r="H8399" t="s">
        <v>15</v>
      </c>
      <c r="I8399" t="s">
        <v>46</v>
      </c>
      <c r="J8399">
        <v>3.6213953E-2</v>
      </c>
      <c r="L8399">
        <v>92.5488</v>
      </c>
      <c r="M8399">
        <v>4</v>
      </c>
    </row>
    <row r="8400" spans="1:13" hidden="1"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hidden="1"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hidden="1"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hidden="1"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hidden="1"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hidden="1"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hidden="1" x14ac:dyDescent="0.3">
      <c r="A8406" t="s">
        <v>17</v>
      </c>
      <c r="B8406">
        <v>8405</v>
      </c>
      <c r="C8406" t="s">
        <v>1601</v>
      </c>
      <c r="D8406" t="s">
        <v>48</v>
      </c>
      <c r="E8406">
        <v>2018</v>
      </c>
      <c r="F8406" t="s">
        <v>45</v>
      </c>
      <c r="G8406" t="s">
        <v>21</v>
      </c>
      <c r="H8406" t="s">
        <v>15</v>
      </c>
      <c r="I8406" t="s">
        <v>46</v>
      </c>
      <c r="J8406">
        <v>0</v>
      </c>
      <c r="L8406">
        <v>151.67080000000001</v>
      </c>
      <c r="M8406">
        <v>4</v>
      </c>
    </row>
    <row r="8407" spans="1:13" hidden="1"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hidden="1"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hidden="1" x14ac:dyDescent="0.3">
      <c r="A8409" t="s">
        <v>17</v>
      </c>
      <c r="B8409">
        <v>8408</v>
      </c>
      <c r="C8409" t="s">
        <v>593</v>
      </c>
      <c r="D8409" t="s">
        <v>48</v>
      </c>
      <c r="E8409">
        <v>2018</v>
      </c>
      <c r="F8409" t="s">
        <v>45</v>
      </c>
      <c r="G8409" t="s">
        <v>21</v>
      </c>
      <c r="H8409" t="s">
        <v>15</v>
      </c>
      <c r="I8409" t="s">
        <v>46</v>
      </c>
      <c r="J8409">
        <v>0.13874251800000001</v>
      </c>
      <c r="L8409">
        <v>147.476</v>
      </c>
      <c r="M8409">
        <v>4</v>
      </c>
    </row>
    <row r="8410" spans="1:13" hidden="1" x14ac:dyDescent="0.3">
      <c r="A8410" t="s">
        <v>17</v>
      </c>
      <c r="B8410">
        <v>8409</v>
      </c>
      <c r="C8410" t="s">
        <v>656</v>
      </c>
      <c r="D8410" t="s">
        <v>48</v>
      </c>
      <c r="E8410">
        <v>2018</v>
      </c>
      <c r="F8410" t="s">
        <v>45</v>
      </c>
      <c r="G8410" t="s">
        <v>21</v>
      </c>
      <c r="H8410" t="s">
        <v>15</v>
      </c>
      <c r="I8410" t="s">
        <v>46</v>
      </c>
      <c r="J8410">
        <v>0.102941345</v>
      </c>
      <c r="L8410">
        <v>142.047</v>
      </c>
      <c r="M8410">
        <v>4</v>
      </c>
    </row>
    <row r="8411" spans="1:13" hidden="1"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hidden="1" x14ac:dyDescent="0.3">
      <c r="A8412" t="s">
        <v>17</v>
      </c>
      <c r="B8412">
        <v>8411</v>
      </c>
      <c r="C8412" t="s">
        <v>476</v>
      </c>
      <c r="D8412" t="s">
        <v>48</v>
      </c>
      <c r="E8412">
        <v>2018</v>
      </c>
      <c r="F8412" t="s">
        <v>45</v>
      </c>
      <c r="G8412" t="s">
        <v>21</v>
      </c>
      <c r="H8412" t="s">
        <v>15</v>
      </c>
      <c r="I8412" t="s">
        <v>46</v>
      </c>
      <c r="J8412">
        <v>4.3551752999999999E-2</v>
      </c>
      <c r="L8412">
        <v>184.495</v>
      </c>
      <c r="M8412">
        <v>4</v>
      </c>
    </row>
    <row r="8413" spans="1:13" hidden="1"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hidden="1"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hidden="1"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hidden="1"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hidden="1"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hidden="1"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hidden="1"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hidden="1"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hidden="1"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hidden="1"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hidden="1" x14ac:dyDescent="0.3">
      <c r="A8423" t="s">
        <v>17</v>
      </c>
      <c r="B8423">
        <v>8422</v>
      </c>
      <c r="C8423" t="s">
        <v>221</v>
      </c>
      <c r="D8423" t="s">
        <v>32</v>
      </c>
      <c r="E8423">
        <v>2018</v>
      </c>
      <c r="F8423" t="s">
        <v>45</v>
      </c>
      <c r="G8423" t="s">
        <v>21</v>
      </c>
      <c r="H8423" t="s">
        <v>15</v>
      </c>
      <c r="I8423" t="s">
        <v>46</v>
      </c>
      <c r="J8423">
        <v>4.3791579999999997E-2</v>
      </c>
      <c r="L8423">
        <v>189.053</v>
      </c>
      <c r="M8423">
        <v>4</v>
      </c>
    </row>
    <row r="8424" spans="1:13" hidden="1"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hidden="1" x14ac:dyDescent="0.3">
      <c r="A8425" t="s">
        <v>17</v>
      </c>
      <c r="B8425">
        <v>8424</v>
      </c>
      <c r="C8425" t="s">
        <v>834</v>
      </c>
      <c r="D8425" t="s">
        <v>159</v>
      </c>
      <c r="E8425">
        <v>2018</v>
      </c>
      <c r="F8425" t="s">
        <v>45</v>
      </c>
      <c r="G8425" t="s">
        <v>21</v>
      </c>
      <c r="H8425" t="s">
        <v>15</v>
      </c>
      <c r="I8425" t="s">
        <v>46</v>
      </c>
      <c r="J8425">
        <v>0</v>
      </c>
      <c r="L8425">
        <v>167.51580000000001</v>
      </c>
      <c r="M8425">
        <v>4</v>
      </c>
    </row>
    <row r="8426" spans="1:13" hidden="1"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hidden="1"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hidden="1"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hidden="1"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hidden="1"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hidden="1"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hidden="1"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hidden="1" x14ac:dyDescent="0.3">
      <c r="A8433" t="s">
        <v>10</v>
      </c>
      <c r="B8433">
        <v>8432</v>
      </c>
      <c r="C8433" t="s">
        <v>904</v>
      </c>
      <c r="D8433" t="s">
        <v>95</v>
      </c>
      <c r="E8433">
        <v>2018</v>
      </c>
      <c r="F8433" t="s">
        <v>45</v>
      </c>
      <c r="G8433" t="s">
        <v>21</v>
      </c>
      <c r="H8433" t="s">
        <v>15</v>
      </c>
      <c r="I8433" t="s">
        <v>46</v>
      </c>
      <c r="J8433">
        <v>0.10351785300000001</v>
      </c>
      <c r="L8433">
        <v>164.95</v>
      </c>
      <c r="M8433">
        <v>4</v>
      </c>
    </row>
    <row r="8434" spans="1:13" hidden="1" x14ac:dyDescent="0.3">
      <c r="A8434" t="s">
        <v>10</v>
      </c>
      <c r="B8434">
        <v>8433</v>
      </c>
      <c r="C8434" t="s">
        <v>1046</v>
      </c>
      <c r="D8434" t="s">
        <v>57</v>
      </c>
      <c r="E8434">
        <v>2018</v>
      </c>
      <c r="F8434" t="s">
        <v>45</v>
      </c>
      <c r="G8434" t="s">
        <v>21</v>
      </c>
      <c r="H8434" t="s">
        <v>15</v>
      </c>
      <c r="I8434" t="s">
        <v>46</v>
      </c>
      <c r="J8434">
        <v>0</v>
      </c>
      <c r="L8434">
        <v>84.590800000000002</v>
      </c>
      <c r="M8434">
        <v>4</v>
      </c>
    </row>
    <row r="8435" spans="1:13" hidden="1"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hidden="1"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hidden="1"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hidden="1"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hidden="1"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hidden="1"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hidden="1"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hidden="1"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hidden="1"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hidden="1"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hidden="1"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hidden="1" x14ac:dyDescent="0.3">
      <c r="A8446" t="s">
        <v>10</v>
      </c>
      <c r="B8446">
        <v>8445</v>
      </c>
      <c r="C8446" t="s">
        <v>511</v>
      </c>
      <c r="D8446" t="s">
        <v>28</v>
      </c>
      <c r="E8446">
        <v>2018</v>
      </c>
      <c r="F8446" t="s">
        <v>45</v>
      </c>
      <c r="G8446" t="s">
        <v>21</v>
      </c>
      <c r="H8446" t="s">
        <v>15</v>
      </c>
      <c r="I8446" t="s">
        <v>46</v>
      </c>
      <c r="J8446">
        <v>0.13933055699999999</v>
      </c>
      <c r="L8446">
        <v>109.5228</v>
      </c>
      <c r="M8446">
        <v>4</v>
      </c>
    </row>
    <row r="8447" spans="1:13" hidden="1"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hidden="1"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hidden="1"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hidden="1"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hidden="1"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hidden="1"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hidden="1" x14ac:dyDescent="0.3">
      <c r="A8453" t="s">
        <v>10</v>
      </c>
      <c r="B8453">
        <v>8452</v>
      </c>
      <c r="C8453" t="s">
        <v>397</v>
      </c>
      <c r="D8453" t="s">
        <v>67</v>
      </c>
      <c r="E8453">
        <v>2018</v>
      </c>
      <c r="F8453" t="s">
        <v>45</v>
      </c>
      <c r="G8453" t="s">
        <v>21</v>
      </c>
      <c r="H8453" t="s">
        <v>15</v>
      </c>
      <c r="I8453" t="s">
        <v>46</v>
      </c>
      <c r="J8453">
        <v>0.18240726600000001</v>
      </c>
      <c r="L8453">
        <v>109.157</v>
      </c>
      <c r="M8453">
        <v>4</v>
      </c>
    </row>
    <row r="8454" spans="1:13" hidden="1"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hidden="1"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hidden="1"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hidden="1" x14ac:dyDescent="0.3">
      <c r="A8457" t="s">
        <v>10</v>
      </c>
      <c r="B8457">
        <v>8456</v>
      </c>
      <c r="C8457" t="s">
        <v>1400</v>
      </c>
      <c r="D8457" t="s">
        <v>67</v>
      </c>
      <c r="E8457">
        <v>2018</v>
      </c>
      <c r="F8457" t="s">
        <v>45</v>
      </c>
      <c r="G8457" t="s">
        <v>21</v>
      </c>
      <c r="H8457" t="s">
        <v>15</v>
      </c>
      <c r="I8457" t="s">
        <v>46</v>
      </c>
      <c r="J8457">
        <v>0</v>
      </c>
      <c r="L8457">
        <v>196.4794</v>
      </c>
      <c r="M8457">
        <v>4</v>
      </c>
    </row>
    <row r="8458" spans="1:13" hidden="1" x14ac:dyDescent="0.3">
      <c r="A8458" t="s">
        <v>10</v>
      </c>
      <c r="B8458">
        <v>8457</v>
      </c>
      <c r="C8458" t="s">
        <v>1308</v>
      </c>
      <c r="D8458" t="s">
        <v>67</v>
      </c>
      <c r="E8458">
        <v>2018</v>
      </c>
      <c r="F8458" t="s">
        <v>45</v>
      </c>
      <c r="G8458" t="s">
        <v>21</v>
      </c>
      <c r="H8458" t="s">
        <v>15</v>
      </c>
      <c r="I8458" t="s">
        <v>46</v>
      </c>
      <c r="J8458">
        <v>0.127108578</v>
      </c>
      <c r="L8458">
        <v>120.744</v>
      </c>
      <c r="M8458">
        <v>4</v>
      </c>
    </row>
    <row r="8459" spans="1:13" hidden="1"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hidden="1"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hidden="1"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hidden="1"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hidden="1"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hidden="1" x14ac:dyDescent="0.3">
      <c r="A8464" t="s">
        <v>10</v>
      </c>
      <c r="B8464">
        <v>8463</v>
      </c>
      <c r="C8464" t="s">
        <v>702</v>
      </c>
      <c r="D8464" t="s">
        <v>67</v>
      </c>
      <c r="E8464">
        <v>2018</v>
      </c>
      <c r="F8464" t="s">
        <v>45</v>
      </c>
      <c r="G8464" t="s">
        <v>21</v>
      </c>
      <c r="H8464" t="s">
        <v>15</v>
      </c>
      <c r="I8464" t="s">
        <v>46</v>
      </c>
      <c r="J8464">
        <v>4.7358246E-2</v>
      </c>
      <c r="L8464">
        <v>123.1756</v>
      </c>
      <c r="M8464">
        <v>4</v>
      </c>
    </row>
    <row r="8465" spans="1:13" hidden="1"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hidden="1"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hidden="1" x14ac:dyDescent="0.3">
      <c r="A8467" t="s">
        <v>10</v>
      </c>
      <c r="B8467">
        <v>8466</v>
      </c>
      <c r="C8467" t="s">
        <v>503</v>
      </c>
      <c r="D8467" t="s">
        <v>24</v>
      </c>
      <c r="E8467">
        <v>2018</v>
      </c>
      <c r="F8467" t="s">
        <v>45</v>
      </c>
      <c r="G8467" t="s">
        <v>21</v>
      </c>
      <c r="H8467" t="s">
        <v>15</v>
      </c>
      <c r="I8467" t="s">
        <v>46</v>
      </c>
      <c r="J8467">
        <v>4.3690499000000001E-2</v>
      </c>
      <c r="L8467">
        <v>60.2194</v>
      </c>
      <c r="M8467">
        <v>4</v>
      </c>
    </row>
    <row r="8468" spans="1:13" hidden="1"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hidden="1"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hidden="1"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hidden="1" x14ac:dyDescent="0.3">
      <c r="A8471" t="s">
        <v>10</v>
      </c>
      <c r="B8471">
        <v>8470</v>
      </c>
      <c r="C8471" t="s">
        <v>1487</v>
      </c>
      <c r="D8471" t="s">
        <v>24</v>
      </c>
      <c r="E8471">
        <v>2018</v>
      </c>
      <c r="F8471" t="s">
        <v>45</v>
      </c>
      <c r="G8471" t="s">
        <v>21</v>
      </c>
      <c r="H8471" t="s">
        <v>15</v>
      </c>
      <c r="I8471" t="s">
        <v>46</v>
      </c>
      <c r="J8471">
        <v>0</v>
      </c>
      <c r="L8471">
        <v>145.27600000000001</v>
      </c>
      <c r="M8471">
        <v>4</v>
      </c>
    </row>
    <row r="8472" spans="1:13" hidden="1"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hidden="1"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hidden="1"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hidden="1" x14ac:dyDescent="0.3">
      <c r="A8475" t="s">
        <v>10</v>
      </c>
      <c r="B8475">
        <v>8474</v>
      </c>
      <c r="C8475" t="s">
        <v>340</v>
      </c>
      <c r="D8475" t="s">
        <v>24</v>
      </c>
      <c r="E8475">
        <v>2018</v>
      </c>
      <c r="F8475" t="s">
        <v>45</v>
      </c>
      <c r="G8475" t="s">
        <v>21</v>
      </c>
      <c r="H8475" t="s">
        <v>15</v>
      </c>
      <c r="I8475" t="s">
        <v>46</v>
      </c>
      <c r="J8475">
        <v>0.159081735</v>
      </c>
      <c r="L8475">
        <v>193.5478</v>
      </c>
      <c r="M8475">
        <v>4</v>
      </c>
    </row>
    <row r="8476" spans="1:13" hidden="1" x14ac:dyDescent="0.3">
      <c r="A8476" t="s">
        <v>10</v>
      </c>
      <c r="B8476">
        <v>8475</v>
      </c>
      <c r="C8476" t="s">
        <v>1157</v>
      </c>
      <c r="D8476" t="s">
        <v>12</v>
      </c>
      <c r="E8476">
        <v>2018</v>
      </c>
      <c r="F8476" t="s">
        <v>45</v>
      </c>
      <c r="G8476" t="s">
        <v>21</v>
      </c>
      <c r="H8476" t="s">
        <v>15</v>
      </c>
      <c r="I8476" t="s">
        <v>46</v>
      </c>
      <c r="J8476">
        <v>3.0794774E-2</v>
      </c>
      <c r="L8476">
        <v>122.9072</v>
      </c>
      <c r="M8476">
        <v>4</v>
      </c>
    </row>
    <row r="8477" spans="1:13" hidden="1"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hidden="1"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hidden="1"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hidden="1" x14ac:dyDescent="0.3">
      <c r="A8480" t="s">
        <v>10</v>
      </c>
      <c r="B8480">
        <v>8479</v>
      </c>
      <c r="C8480" t="s">
        <v>1536</v>
      </c>
      <c r="D8480" t="s">
        <v>12</v>
      </c>
      <c r="E8480">
        <v>2018</v>
      </c>
      <c r="F8480" t="s">
        <v>45</v>
      </c>
      <c r="G8480" t="s">
        <v>21</v>
      </c>
      <c r="H8480" t="s">
        <v>15</v>
      </c>
      <c r="I8480" t="s">
        <v>46</v>
      </c>
      <c r="J8480">
        <v>0.106538757</v>
      </c>
      <c r="L8480">
        <v>145.4786</v>
      </c>
      <c r="M8480">
        <v>4</v>
      </c>
    </row>
    <row r="8481" spans="1:13" hidden="1"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hidden="1"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hidden="1"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hidden="1"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hidden="1" x14ac:dyDescent="0.3">
      <c r="A8485" t="s">
        <v>10</v>
      </c>
      <c r="B8485">
        <v>8484</v>
      </c>
      <c r="C8485" t="s">
        <v>581</v>
      </c>
      <c r="D8485" t="s">
        <v>12</v>
      </c>
      <c r="E8485">
        <v>2018</v>
      </c>
      <c r="F8485" t="s">
        <v>45</v>
      </c>
      <c r="G8485" t="s">
        <v>21</v>
      </c>
      <c r="H8485" t="s">
        <v>15</v>
      </c>
      <c r="I8485" t="s">
        <v>46</v>
      </c>
      <c r="J8485">
        <v>0.115032648</v>
      </c>
      <c r="L8485">
        <v>58.0246</v>
      </c>
      <c r="M8485">
        <v>4</v>
      </c>
    </row>
    <row r="8486" spans="1:13" hidden="1"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hidden="1"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hidden="1"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hidden="1"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hidden="1"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hidden="1"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hidden="1"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hidden="1" x14ac:dyDescent="0.3">
      <c r="A8493" t="s">
        <v>10</v>
      </c>
      <c r="B8493">
        <v>8492</v>
      </c>
      <c r="C8493" t="s">
        <v>1013</v>
      </c>
      <c r="D8493" t="s">
        <v>54</v>
      </c>
      <c r="E8493">
        <v>2018</v>
      </c>
      <c r="F8493" t="s">
        <v>45</v>
      </c>
      <c r="G8493" t="s">
        <v>21</v>
      </c>
      <c r="H8493" t="s">
        <v>15</v>
      </c>
      <c r="I8493" t="s">
        <v>46</v>
      </c>
      <c r="J8493">
        <v>0.157701958</v>
      </c>
      <c r="L8493">
        <v>158.7946</v>
      </c>
      <c r="M8493">
        <v>4</v>
      </c>
    </row>
    <row r="8494" spans="1:13" hidden="1"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hidden="1"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hidden="1"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hidden="1"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hidden="1"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hidden="1"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hidden="1"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hidden="1"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hidden="1"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hidden="1"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hidden="1"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hidden="1"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hidden="1"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hidden="1"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hidden="1"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hidden="1"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hidden="1"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hidden="1"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hidden="1"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hidden="1"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hidden="1"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hidden="1"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hidden="1"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hidden="1"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hidden="1"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hidden="1"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hidden="1" x14ac:dyDescent="0.3">
      <c r="A8520" t="s">
        <v>35</v>
      </c>
      <c r="B8520">
        <v>8519</v>
      </c>
      <c r="C8520" t="s">
        <v>237</v>
      </c>
      <c r="D8520" t="s">
        <v>19</v>
      </c>
      <c r="E8520">
        <v>2018</v>
      </c>
      <c r="F8520" t="s">
        <v>45</v>
      </c>
      <c r="G8520" t="s">
        <v>21</v>
      </c>
      <c r="H8520" t="s">
        <v>15</v>
      </c>
      <c r="I8520" t="s">
        <v>46</v>
      </c>
      <c r="J8520">
        <v>0</v>
      </c>
      <c r="L8520">
        <v>164.55260000000001</v>
      </c>
      <c r="M8520">
        <v>4</v>
      </c>
    </row>
    <row r="8521" spans="1:13" hidden="1"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hidden="1"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hidden="1" x14ac:dyDescent="0.3">
      <c r="A8524" t="s">
        <v>1609</v>
      </c>
      <c r="B8524">
        <v>8523</v>
      </c>
      <c r="C8524" t="s">
        <v>559</v>
      </c>
      <c r="D8524" t="s">
        <v>48</v>
      </c>
      <c r="E8524">
        <v>2018</v>
      </c>
      <c r="F8524" t="s">
        <v>45</v>
      </c>
      <c r="G8524" t="s">
        <v>21</v>
      </c>
      <c r="H8524" t="s">
        <v>15</v>
      </c>
      <c r="I8524" t="s">
        <v>46</v>
      </c>
      <c r="J8524">
        <v>0</v>
      </c>
      <c r="L8524">
        <v>112.2544</v>
      </c>
      <c r="M8524">
        <v>4</v>
      </c>
    </row>
    <row r="8525" spans="1:13" hidden="1" x14ac:dyDescent="0.3"/>
    <row r="8526" spans="1:13" hidden="1" x14ac:dyDescent="0.3"/>
    <row r="8527" spans="1:13" hidden="1" x14ac:dyDescent="0.3"/>
    <row r="8528" spans="1:13" hidden="1" x14ac:dyDescent="0.3"/>
    <row r="8529" hidden="1" x14ac:dyDescent="0.3"/>
    <row r="8530" hidden="1" x14ac:dyDescent="0.3"/>
    <row r="8531" hidden="1" x14ac:dyDescent="0.3"/>
    <row r="8532" hidden="1" x14ac:dyDescent="0.3"/>
    <row r="8533" hidden="1" x14ac:dyDescent="0.3"/>
    <row r="8534" hidden="1" x14ac:dyDescent="0.3"/>
    <row r="8535" hidden="1" x14ac:dyDescent="0.3"/>
    <row r="8536" hidden="1" x14ac:dyDescent="0.3"/>
    <row r="8537" hidden="1" x14ac:dyDescent="0.3"/>
    <row r="8538" hidden="1" x14ac:dyDescent="0.3"/>
    <row r="8539" hidden="1" x14ac:dyDescent="0.3"/>
    <row r="8540" hidden="1" x14ac:dyDescent="0.3"/>
    <row r="8541" hidden="1" x14ac:dyDescent="0.3"/>
    <row r="8542" hidden="1" x14ac:dyDescent="0.3"/>
    <row r="8543" hidden="1" x14ac:dyDescent="0.3"/>
    <row r="8544" hidden="1" x14ac:dyDescent="0.3"/>
    <row r="8545" hidden="1" x14ac:dyDescent="0.3"/>
    <row r="8546" hidden="1" x14ac:dyDescent="0.3"/>
    <row r="8547" hidden="1" x14ac:dyDescent="0.3"/>
    <row r="8548" hidden="1" x14ac:dyDescent="0.3"/>
    <row r="8549" hidden="1" x14ac:dyDescent="0.3"/>
    <row r="8550" hidden="1" x14ac:dyDescent="0.3"/>
    <row r="8551" hidden="1" x14ac:dyDescent="0.3"/>
    <row r="8552" hidden="1" x14ac:dyDescent="0.3"/>
    <row r="8553" hidden="1" x14ac:dyDescent="0.3"/>
    <row r="8554" hidden="1" x14ac:dyDescent="0.3"/>
    <row r="8555" hidden="1" x14ac:dyDescent="0.3"/>
    <row r="8556" hidden="1" x14ac:dyDescent="0.3"/>
    <row r="8557" hidden="1" x14ac:dyDescent="0.3"/>
    <row r="8558" hidden="1" x14ac:dyDescent="0.3"/>
    <row r="8559" hidden="1" x14ac:dyDescent="0.3"/>
    <row r="8560" hidden="1" x14ac:dyDescent="0.3"/>
    <row r="8561" hidden="1" x14ac:dyDescent="0.3"/>
    <row r="8562" hidden="1" x14ac:dyDescent="0.3"/>
    <row r="8563" hidden="1" x14ac:dyDescent="0.3"/>
    <row r="8564" hidden="1" x14ac:dyDescent="0.3"/>
    <row r="8565" hidden="1" x14ac:dyDescent="0.3"/>
    <row r="8566" hidden="1" x14ac:dyDescent="0.3"/>
    <row r="8567" hidden="1" x14ac:dyDescent="0.3"/>
    <row r="8568" hidden="1" x14ac:dyDescent="0.3"/>
    <row r="8569" hidden="1" x14ac:dyDescent="0.3"/>
    <row r="8570" hidden="1" x14ac:dyDescent="0.3"/>
    <row r="8571" hidden="1" x14ac:dyDescent="0.3"/>
    <row r="8572" hidden="1" x14ac:dyDescent="0.3"/>
    <row r="8573" hidden="1" x14ac:dyDescent="0.3"/>
    <row r="8574" hidden="1" x14ac:dyDescent="0.3"/>
    <row r="8575" hidden="1" x14ac:dyDescent="0.3"/>
    <row r="8576" hidden="1" x14ac:dyDescent="0.3"/>
    <row r="8577" hidden="1" x14ac:dyDescent="0.3"/>
    <row r="8578" hidden="1" x14ac:dyDescent="0.3"/>
    <row r="8579" hidden="1" x14ac:dyDescent="0.3"/>
    <row r="8580" hidden="1" x14ac:dyDescent="0.3"/>
    <row r="8581" hidden="1" x14ac:dyDescent="0.3"/>
    <row r="8582" hidden="1" x14ac:dyDescent="0.3"/>
    <row r="8583" hidden="1" x14ac:dyDescent="0.3"/>
    <row r="8584" hidden="1" x14ac:dyDescent="0.3"/>
    <row r="8585" hidden="1" x14ac:dyDescent="0.3"/>
    <row r="8586" hidden="1" x14ac:dyDescent="0.3"/>
    <row r="8587" hidden="1" x14ac:dyDescent="0.3"/>
    <row r="8588" hidden="1" x14ac:dyDescent="0.3"/>
    <row r="8589" hidden="1" x14ac:dyDescent="0.3"/>
    <row r="8590" hidden="1" x14ac:dyDescent="0.3"/>
    <row r="8591" hidden="1" x14ac:dyDescent="0.3"/>
    <row r="8592" hidden="1" x14ac:dyDescent="0.3"/>
    <row r="8593" hidden="1" x14ac:dyDescent="0.3"/>
    <row r="8594" hidden="1" x14ac:dyDescent="0.3"/>
    <row r="8595" hidden="1" x14ac:dyDescent="0.3"/>
    <row r="8596" hidden="1" x14ac:dyDescent="0.3"/>
    <row r="8597" hidden="1" x14ac:dyDescent="0.3"/>
    <row r="8598" hidden="1" x14ac:dyDescent="0.3"/>
    <row r="8599" hidden="1" x14ac:dyDescent="0.3"/>
    <row r="8600" hidden="1" x14ac:dyDescent="0.3"/>
    <row r="8601" hidden="1" x14ac:dyDescent="0.3"/>
    <row r="8602" hidden="1" x14ac:dyDescent="0.3"/>
    <row r="8603" hidden="1" x14ac:dyDescent="0.3"/>
    <row r="8604" hidden="1" x14ac:dyDescent="0.3"/>
    <row r="8605" hidden="1" x14ac:dyDescent="0.3"/>
    <row r="8606" hidden="1" x14ac:dyDescent="0.3"/>
    <row r="8607" hidden="1" x14ac:dyDescent="0.3"/>
    <row r="8608" hidden="1" x14ac:dyDescent="0.3"/>
    <row r="8609" hidden="1" x14ac:dyDescent="0.3"/>
    <row r="8610" hidden="1" x14ac:dyDescent="0.3"/>
    <row r="8611" hidden="1" x14ac:dyDescent="0.3"/>
    <row r="8612" hidden="1" x14ac:dyDescent="0.3"/>
    <row r="8613" hidden="1" x14ac:dyDescent="0.3"/>
    <row r="8614" hidden="1" x14ac:dyDescent="0.3"/>
    <row r="8615" hidden="1" x14ac:dyDescent="0.3"/>
    <row r="8616" hidden="1" x14ac:dyDescent="0.3"/>
    <row r="8617" hidden="1" x14ac:dyDescent="0.3"/>
    <row r="8618" hidden="1" x14ac:dyDescent="0.3"/>
    <row r="8619" hidden="1" x14ac:dyDescent="0.3"/>
    <row r="8620" hidden="1" x14ac:dyDescent="0.3"/>
    <row r="8621" hidden="1" x14ac:dyDescent="0.3"/>
    <row r="8622" hidden="1" x14ac:dyDescent="0.3"/>
    <row r="8623" hidden="1" x14ac:dyDescent="0.3"/>
    <row r="8624" hidden="1" x14ac:dyDescent="0.3"/>
    <row r="8625" hidden="1" x14ac:dyDescent="0.3"/>
    <row r="8626" hidden="1" x14ac:dyDescent="0.3"/>
    <row r="8627" hidden="1" x14ac:dyDescent="0.3"/>
    <row r="8628" hidden="1" x14ac:dyDescent="0.3"/>
    <row r="8629" hidden="1" x14ac:dyDescent="0.3"/>
    <row r="8630" hidden="1" x14ac:dyDescent="0.3"/>
    <row r="8631" hidden="1" x14ac:dyDescent="0.3"/>
    <row r="8632" hidden="1" x14ac:dyDescent="0.3"/>
    <row r="8633" hidden="1" x14ac:dyDescent="0.3"/>
    <row r="8634" hidden="1" x14ac:dyDescent="0.3"/>
    <row r="8635" hidden="1" x14ac:dyDescent="0.3"/>
    <row r="8636" hidden="1" x14ac:dyDescent="0.3"/>
    <row r="8637" hidden="1" x14ac:dyDescent="0.3"/>
    <row r="8638" hidden="1" x14ac:dyDescent="0.3"/>
    <row r="8639" hidden="1" x14ac:dyDescent="0.3"/>
    <row r="8640" hidden="1" x14ac:dyDescent="0.3"/>
    <row r="8641" hidden="1" x14ac:dyDescent="0.3"/>
    <row r="8642" hidden="1" x14ac:dyDescent="0.3"/>
    <row r="8643" hidden="1" x14ac:dyDescent="0.3"/>
    <row r="8644" hidden="1" x14ac:dyDescent="0.3"/>
    <row r="8645" hidden="1" x14ac:dyDescent="0.3"/>
    <row r="8646" hidden="1" x14ac:dyDescent="0.3"/>
    <row r="8647" hidden="1" x14ac:dyDescent="0.3"/>
    <row r="8648" hidden="1" x14ac:dyDescent="0.3"/>
    <row r="8649" hidden="1" x14ac:dyDescent="0.3"/>
    <row r="8650" hidden="1" x14ac:dyDescent="0.3"/>
    <row r="8651" hidden="1" x14ac:dyDescent="0.3"/>
    <row r="8652" hidden="1" x14ac:dyDescent="0.3"/>
    <row r="8653" hidden="1" x14ac:dyDescent="0.3"/>
    <row r="8654" hidden="1" x14ac:dyDescent="0.3"/>
    <row r="8655" hidden="1" x14ac:dyDescent="0.3"/>
    <row r="8656" hidden="1" x14ac:dyDescent="0.3"/>
    <row r="8657" hidden="1" x14ac:dyDescent="0.3"/>
    <row r="8658" hidden="1" x14ac:dyDescent="0.3"/>
    <row r="8659" hidden="1" x14ac:dyDescent="0.3"/>
    <row r="8660" hidden="1" x14ac:dyDescent="0.3"/>
    <row r="8661" hidden="1" x14ac:dyDescent="0.3"/>
    <row r="8662" hidden="1" x14ac:dyDescent="0.3"/>
    <row r="8663" hidden="1" x14ac:dyDescent="0.3"/>
    <row r="8664" hidden="1" x14ac:dyDescent="0.3"/>
    <row r="8665" hidden="1" x14ac:dyDescent="0.3"/>
    <row r="8666" hidden="1" x14ac:dyDescent="0.3"/>
    <row r="8667" hidden="1" x14ac:dyDescent="0.3"/>
    <row r="8668" hidden="1" x14ac:dyDescent="0.3"/>
    <row r="8669" hidden="1" x14ac:dyDescent="0.3"/>
    <row r="8670" hidden="1" x14ac:dyDescent="0.3"/>
    <row r="8671" hidden="1" x14ac:dyDescent="0.3"/>
    <row r="8672" hidden="1" x14ac:dyDescent="0.3"/>
    <row r="8673" hidden="1" x14ac:dyDescent="0.3"/>
    <row r="8674" hidden="1" x14ac:dyDescent="0.3"/>
    <row r="8675" hidden="1" x14ac:dyDescent="0.3"/>
    <row r="8676" hidden="1" x14ac:dyDescent="0.3"/>
    <row r="8677" hidden="1" x14ac:dyDescent="0.3"/>
    <row r="8678" hidden="1" x14ac:dyDescent="0.3"/>
    <row r="8679" hidden="1" x14ac:dyDescent="0.3"/>
    <row r="8680" hidden="1" x14ac:dyDescent="0.3"/>
    <row r="8681" hidden="1" x14ac:dyDescent="0.3"/>
    <row r="8682" hidden="1" x14ac:dyDescent="0.3"/>
    <row r="8683" hidden="1" x14ac:dyDescent="0.3"/>
    <row r="8684" hidden="1" x14ac:dyDescent="0.3"/>
    <row r="8685" hidden="1" x14ac:dyDescent="0.3"/>
    <row r="8686" hidden="1" x14ac:dyDescent="0.3"/>
    <row r="8687" hidden="1" x14ac:dyDescent="0.3"/>
    <row r="8688" hidden="1" x14ac:dyDescent="0.3"/>
    <row r="8689" hidden="1" x14ac:dyDescent="0.3"/>
    <row r="8690" hidden="1" x14ac:dyDescent="0.3"/>
    <row r="8691" hidden="1" x14ac:dyDescent="0.3"/>
    <row r="8692" hidden="1" x14ac:dyDescent="0.3"/>
    <row r="8693" hidden="1" x14ac:dyDescent="0.3"/>
    <row r="8694" hidden="1" x14ac:dyDescent="0.3"/>
    <row r="8695" hidden="1" x14ac:dyDescent="0.3"/>
    <row r="8696" hidden="1" x14ac:dyDescent="0.3"/>
    <row r="8697" hidden="1" x14ac:dyDescent="0.3"/>
    <row r="8698" hidden="1" x14ac:dyDescent="0.3"/>
    <row r="8699" hidden="1" x14ac:dyDescent="0.3"/>
    <row r="8700" hidden="1" x14ac:dyDescent="0.3"/>
    <row r="8701" hidden="1" x14ac:dyDescent="0.3"/>
    <row r="8702" hidden="1" x14ac:dyDescent="0.3"/>
    <row r="8703" hidden="1" x14ac:dyDescent="0.3"/>
    <row r="8704" hidden="1" x14ac:dyDescent="0.3"/>
    <row r="8705" hidden="1" x14ac:dyDescent="0.3"/>
    <row r="8706" hidden="1" x14ac:dyDescent="0.3"/>
    <row r="8707" hidden="1" x14ac:dyDescent="0.3"/>
    <row r="8708" hidden="1" x14ac:dyDescent="0.3"/>
    <row r="8709" hidden="1" x14ac:dyDescent="0.3"/>
    <row r="8710" hidden="1" x14ac:dyDescent="0.3"/>
    <row r="8711" hidden="1" x14ac:dyDescent="0.3"/>
    <row r="8712" hidden="1" x14ac:dyDescent="0.3"/>
    <row r="8713" hidden="1" x14ac:dyDescent="0.3"/>
    <row r="8714" hidden="1" x14ac:dyDescent="0.3"/>
    <row r="8715" hidden="1" x14ac:dyDescent="0.3"/>
    <row r="8716" hidden="1" x14ac:dyDescent="0.3"/>
    <row r="8717" hidden="1" x14ac:dyDescent="0.3"/>
    <row r="8718" hidden="1" x14ac:dyDescent="0.3"/>
    <row r="8719" hidden="1" x14ac:dyDescent="0.3"/>
    <row r="8720" hidden="1" x14ac:dyDescent="0.3"/>
    <row r="8721" hidden="1" x14ac:dyDescent="0.3"/>
    <row r="8722" hidden="1" x14ac:dyDescent="0.3"/>
    <row r="8723" hidden="1" x14ac:dyDescent="0.3"/>
    <row r="8724" hidden="1" x14ac:dyDescent="0.3"/>
    <row r="8725" hidden="1" x14ac:dyDescent="0.3"/>
    <row r="8726" hidden="1" x14ac:dyDescent="0.3"/>
    <row r="8727" hidden="1" x14ac:dyDescent="0.3"/>
    <row r="8728" hidden="1" x14ac:dyDescent="0.3"/>
    <row r="8729" hidden="1" x14ac:dyDescent="0.3"/>
    <row r="8730" hidden="1" x14ac:dyDescent="0.3"/>
    <row r="8731" hidden="1" x14ac:dyDescent="0.3"/>
    <row r="8732" hidden="1" x14ac:dyDescent="0.3"/>
    <row r="8733" hidden="1" x14ac:dyDescent="0.3"/>
    <row r="8734" hidden="1" x14ac:dyDescent="0.3"/>
    <row r="8735" hidden="1" x14ac:dyDescent="0.3"/>
    <row r="8736" hidden="1" x14ac:dyDescent="0.3"/>
    <row r="8737" hidden="1" x14ac:dyDescent="0.3"/>
    <row r="8738" hidden="1" x14ac:dyDescent="0.3"/>
    <row r="8739" hidden="1" x14ac:dyDescent="0.3"/>
    <row r="8740" hidden="1" x14ac:dyDescent="0.3"/>
    <row r="8741" hidden="1" x14ac:dyDescent="0.3"/>
    <row r="8742" hidden="1" x14ac:dyDescent="0.3"/>
    <row r="8743" hidden="1" x14ac:dyDescent="0.3"/>
    <row r="8744" hidden="1" x14ac:dyDescent="0.3"/>
    <row r="8745" hidden="1" x14ac:dyDescent="0.3"/>
    <row r="8746" hidden="1" x14ac:dyDescent="0.3"/>
    <row r="8747" hidden="1" x14ac:dyDescent="0.3"/>
    <row r="8748" hidden="1" x14ac:dyDescent="0.3"/>
    <row r="8749" hidden="1" x14ac:dyDescent="0.3"/>
    <row r="8750" hidden="1" x14ac:dyDescent="0.3"/>
    <row r="8751" hidden="1" x14ac:dyDescent="0.3"/>
    <row r="8752" hidden="1" x14ac:dyDescent="0.3"/>
    <row r="8753" hidden="1" x14ac:dyDescent="0.3"/>
    <row r="8754" hidden="1" x14ac:dyDescent="0.3"/>
    <row r="8755" hidden="1" x14ac:dyDescent="0.3"/>
    <row r="8756" hidden="1" x14ac:dyDescent="0.3"/>
    <row r="8757" hidden="1" x14ac:dyDescent="0.3"/>
    <row r="8758" hidden="1" x14ac:dyDescent="0.3"/>
    <row r="8759" hidden="1" x14ac:dyDescent="0.3"/>
    <row r="8760" hidden="1" x14ac:dyDescent="0.3"/>
    <row r="8761" hidden="1" x14ac:dyDescent="0.3"/>
    <row r="8762" hidden="1" x14ac:dyDescent="0.3"/>
    <row r="8763" hidden="1" x14ac:dyDescent="0.3"/>
    <row r="8764" hidden="1" x14ac:dyDescent="0.3"/>
    <row r="8765" hidden="1" x14ac:dyDescent="0.3"/>
    <row r="8766" hidden="1" x14ac:dyDescent="0.3"/>
    <row r="8767" hidden="1" x14ac:dyDescent="0.3"/>
    <row r="8768" hidden="1" x14ac:dyDescent="0.3"/>
    <row r="8769" hidden="1" x14ac:dyDescent="0.3"/>
    <row r="8770" hidden="1" x14ac:dyDescent="0.3"/>
    <row r="8771" hidden="1" x14ac:dyDescent="0.3"/>
    <row r="8772" hidden="1" x14ac:dyDescent="0.3"/>
    <row r="8773" hidden="1" x14ac:dyDescent="0.3"/>
    <row r="8774" hidden="1" x14ac:dyDescent="0.3"/>
    <row r="8775" hidden="1" x14ac:dyDescent="0.3"/>
    <row r="8776" hidden="1" x14ac:dyDescent="0.3"/>
    <row r="8777" hidden="1" x14ac:dyDescent="0.3"/>
    <row r="8778" hidden="1" x14ac:dyDescent="0.3"/>
    <row r="8779" hidden="1" x14ac:dyDescent="0.3"/>
    <row r="8780" hidden="1" x14ac:dyDescent="0.3"/>
    <row r="8781" hidden="1" x14ac:dyDescent="0.3"/>
    <row r="8782" hidden="1" x14ac:dyDescent="0.3"/>
    <row r="8783" hidden="1" x14ac:dyDescent="0.3"/>
    <row r="8784" hidden="1" x14ac:dyDescent="0.3"/>
    <row r="8785" hidden="1" x14ac:dyDescent="0.3"/>
    <row r="8786" hidden="1" x14ac:dyDescent="0.3"/>
    <row r="8787" hidden="1" x14ac:dyDescent="0.3"/>
    <row r="8788" hidden="1" x14ac:dyDescent="0.3"/>
    <row r="8789" hidden="1" x14ac:dyDescent="0.3"/>
    <row r="8790" hidden="1" x14ac:dyDescent="0.3"/>
    <row r="8791" hidden="1" x14ac:dyDescent="0.3"/>
    <row r="8792" hidden="1" x14ac:dyDescent="0.3"/>
    <row r="8793" hidden="1" x14ac:dyDescent="0.3"/>
    <row r="8794" hidden="1" x14ac:dyDescent="0.3"/>
    <row r="8795" hidden="1" x14ac:dyDescent="0.3"/>
    <row r="8796" hidden="1" x14ac:dyDescent="0.3"/>
    <row r="8797" hidden="1" x14ac:dyDescent="0.3"/>
    <row r="8798" hidden="1" x14ac:dyDescent="0.3"/>
    <row r="8799" hidden="1" x14ac:dyDescent="0.3"/>
    <row r="8800" hidden="1" x14ac:dyDescent="0.3"/>
    <row r="8801" hidden="1" x14ac:dyDescent="0.3"/>
    <row r="8802" hidden="1" x14ac:dyDescent="0.3"/>
    <row r="8803" hidden="1" x14ac:dyDescent="0.3"/>
    <row r="8804" hidden="1" x14ac:dyDescent="0.3"/>
    <row r="8805" hidden="1" x14ac:dyDescent="0.3"/>
    <row r="8806" hidden="1" x14ac:dyDescent="0.3"/>
    <row r="8807" hidden="1" x14ac:dyDescent="0.3"/>
    <row r="8808" hidden="1" x14ac:dyDescent="0.3"/>
    <row r="8809" hidden="1" x14ac:dyDescent="0.3"/>
    <row r="8810" hidden="1" x14ac:dyDescent="0.3"/>
    <row r="8811" hidden="1" x14ac:dyDescent="0.3"/>
    <row r="8812" hidden="1" x14ac:dyDescent="0.3"/>
    <row r="8813" hidden="1" x14ac:dyDescent="0.3"/>
    <row r="8814" hidden="1" x14ac:dyDescent="0.3"/>
    <row r="8815" hidden="1" x14ac:dyDescent="0.3"/>
    <row r="8816" hidden="1" x14ac:dyDescent="0.3"/>
    <row r="8817" hidden="1" x14ac:dyDescent="0.3"/>
    <row r="8818" hidden="1" x14ac:dyDescent="0.3"/>
    <row r="8819" hidden="1" x14ac:dyDescent="0.3"/>
    <row r="8820" hidden="1" x14ac:dyDescent="0.3"/>
    <row r="8821" hidden="1" x14ac:dyDescent="0.3"/>
    <row r="8822" hidden="1" x14ac:dyDescent="0.3"/>
    <row r="8823" hidden="1" x14ac:dyDescent="0.3"/>
    <row r="8824" hidden="1" x14ac:dyDescent="0.3"/>
    <row r="8825" hidden="1" x14ac:dyDescent="0.3"/>
    <row r="8826" hidden="1" x14ac:dyDescent="0.3"/>
    <row r="8827" hidden="1" x14ac:dyDescent="0.3"/>
    <row r="8828" hidden="1" x14ac:dyDescent="0.3"/>
    <row r="8829" hidden="1" x14ac:dyDescent="0.3"/>
    <row r="8830" hidden="1" x14ac:dyDescent="0.3"/>
    <row r="8831" hidden="1" x14ac:dyDescent="0.3"/>
    <row r="8832" hidden="1" x14ac:dyDescent="0.3"/>
    <row r="8833" hidden="1" x14ac:dyDescent="0.3"/>
    <row r="8834" hidden="1" x14ac:dyDescent="0.3"/>
    <row r="8835" hidden="1" x14ac:dyDescent="0.3"/>
    <row r="8836" hidden="1" x14ac:dyDescent="0.3"/>
    <row r="8837" hidden="1" x14ac:dyDescent="0.3"/>
    <row r="8838" hidden="1" x14ac:dyDescent="0.3"/>
    <row r="8839" hidden="1" x14ac:dyDescent="0.3"/>
    <row r="8840" hidden="1" x14ac:dyDescent="0.3"/>
    <row r="8841" hidden="1" x14ac:dyDescent="0.3"/>
    <row r="8842" hidden="1" x14ac:dyDescent="0.3"/>
    <row r="8843" hidden="1" x14ac:dyDescent="0.3"/>
    <row r="8844" hidden="1" x14ac:dyDescent="0.3"/>
    <row r="8845" hidden="1" x14ac:dyDescent="0.3"/>
    <row r="8846" hidden="1" x14ac:dyDescent="0.3"/>
    <row r="8847" hidden="1" x14ac:dyDescent="0.3"/>
    <row r="8848" hidden="1" x14ac:dyDescent="0.3"/>
    <row r="8849" hidden="1" x14ac:dyDescent="0.3"/>
    <row r="8850" hidden="1" x14ac:dyDescent="0.3"/>
    <row r="8851" hidden="1" x14ac:dyDescent="0.3"/>
    <row r="8852" hidden="1" x14ac:dyDescent="0.3"/>
    <row r="8853" hidden="1" x14ac:dyDescent="0.3"/>
    <row r="8854" hidden="1" x14ac:dyDescent="0.3"/>
    <row r="8855" hidden="1" x14ac:dyDescent="0.3"/>
    <row r="8856" hidden="1" x14ac:dyDescent="0.3"/>
    <row r="8857" hidden="1" x14ac:dyDescent="0.3"/>
    <row r="8858" hidden="1" x14ac:dyDescent="0.3"/>
    <row r="8859" hidden="1" x14ac:dyDescent="0.3"/>
    <row r="8860" hidden="1" x14ac:dyDescent="0.3"/>
    <row r="8861" hidden="1" x14ac:dyDescent="0.3"/>
    <row r="8862" hidden="1" x14ac:dyDescent="0.3"/>
    <row r="8863" hidden="1" x14ac:dyDescent="0.3"/>
    <row r="8864" hidden="1" x14ac:dyDescent="0.3"/>
    <row r="8865" hidden="1" x14ac:dyDescent="0.3"/>
    <row r="8866" hidden="1" x14ac:dyDescent="0.3"/>
    <row r="8867" hidden="1" x14ac:dyDescent="0.3"/>
    <row r="8868" hidden="1" x14ac:dyDescent="0.3"/>
    <row r="8869" hidden="1" x14ac:dyDescent="0.3"/>
    <row r="8870" hidden="1" x14ac:dyDescent="0.3"/>
    <row r="8871" hidden="1" x14ac:dyDescent="0.3"/>
    <row r="8872" hidden="1" x14ac:dyDescent="0.3"/>
    <row r="8873" hidden="1" x14ac:dyDescent="0.3"/>
    <row r="8874" hidden="1" x14ac:dyDescent="0.3"/>
    <row r="8875" hidden="1" x14ac:dyDescent="0.3"/>
    <row r="8876" hidden="1" x14ac:dyDescent="0.3"/>
    <row r="8877" hidden="1" x14ac:dyDescent="0.3"/>
    <row r="8878" hidden="1" x14ac:dyDescent="0.3"/>
    <row r="8879" hidden="1" x14ac:dyDescent="0.3"/>
    <row r="8880" hidden="1" x14ac:dyDescent="0.3"/>
    <row r="8881" hidden="1" x14ac:dyDescent="0.3"/>
    <row r="8882" hidden="1" x14ac:dyDescent="0.3"/>
    <row r="8883" hidden="1" x14ac:dyDescent="0.3"/>
    <row r="8884" hidden="1" x14ac:dyDescent="0.3"/>
    <row r="8885" hidden="1" x14ac:dyDescent="0.3"/>
    <row r="8886" hidden="1" x14ac:dyDescent="0.3"/>
    <row r="8887" hidden="1" x14ac:dyDescent="0.3"/>
    <row r="8888" hidden="1" x14ac:dyDescent="0.3"/>
    <row r="8889" hidden="1" x14ac:dyDescent="0.3"/>
    <row r="8890" hidden="1" x14ac:dyDescent="0.3"/>
    <row r="8891" hidden="1" x14ac:dyDescent="0.3"/>
    <row r="8892" hidden="1" x14ac:dyDescent="0.3"/>
    <row r="8893" hidden="1" x14ac:dyDescent="0.3"/>
    <row r="8894" hidden="1" x14ac:dyDescent="0.3"/>
    <row r="8895" hidden="1" x14ac:dyDescent="0.3"/>
    <row r="8896" hidden="1" x14ac:dyDescent="0.3"/>
    <row r="8897" hidden="1" x14ac:dyDescent="0.3"/>
    <row r="8898" hidden="1" x14ac:dyDescent="0.3"/>
    <row r="8899" hidden="1" x14ac:dyDescent="0.3"/>
    <row r="8900" hidden="1" x14ac:dyDescent="0.3"/>
    <row r="8901" hidden="1" x14ac:dyDescent="0.3"/>
    <row r="8902" hidden="1" x14ac:dyDescent="0.3"/>
    <row r="8903" hidden="1" x14ac:dyDescent="0.3"/>
    <row r="8904" hidden="1" x14ac:dyDescent="0.3"/>
    <row r="8905" hidden="1" x14ac:dyDescent="0.3"/>
    <row r="8906" hidden="1" x14ac:dyDescent="0.3"/>
    <row r="8907" hidden="1" x14ac:dyDescent="0.3"/>
    <row r="8908" hidden="1" x14ac:dyDescent="0.3"/>
    <row r="8909" hidden="1" x14ac:dyDescent="0.3"/>
    <row r="8910" hidden="1" x14ac:dyDescent="0.3"/>
    <row r="8911" hidden="1" x14ac:dyDescent="0.3"/>
    <row r="8912" hidden="1" x14ac:dyDescent="0.3"/>
    <row r="8913" hidden="1" x14ac:dyDescent="0.3"/>
    <row r="8914" hidden="1" x14ac:dyDescent="0.3"/>
    <row r="8915" hidden="1" x14ac:dyDescent="0.3"/>
    <row r="8916" hidden="1" x14ac:dyDescent="0.3"/>
    <row r="8917" hidden="1" x14ac:dyDescent="0.3"/>
    <row r="8918" hidden="1" x14ac:dyDescent="0.3"/>
    <row r="8919" hidden="1" x14ac:dyDescent="0.3"/>
    <row r="8920" hidden="1" x14ac:dyDescent="0.3"/>
    <row r="8921" hidden="1" x14ac:dyDescent="0.3"/>
    <row r="8922" hidden="1" x14ac:dyDescent="0.3"/>
    <row r="8923" hidden="1" x14ac:dyDescent="0.3"/>
    <row r="8924" hidden="1" x14ac:dyDescent="0.3"/>
    <row r="8925" hidden="1" x14ac:dyDescent="0.3"/>
    <row r="8926" hidden="1" x14ac:dyDescent="0.3"/>
    <row r="8927" hidden="1" x14ac:dyDescent="0.3"/>
    <row r="8928" hidden="1" x14ac:dyDescent="0.3"/>
    <row r="8929" hidden="1" x14ac:dyDescent="0.3"/>
    <row r="8930" hidden="1" x14ac:dyDescent="0.3"/>
    <row r="8931" hidden="1" x14ac:dyDescent="0.3"/>
    <row r="8932" hidden="1" x14ac:dyDescent="0.3"/>
    <row r="8933" hidden="1" x14ac:dyDescent="0.3"/>
    <row r="8934" hidden="1" x14ac:dyDescent="0.3"/>
    <row r="8935" hidden="1" x14ac:dyDescent="0.3"/>
    <row r="8936" hidden="1" x14ac:dyDescent="0.3"/>
    <row r="8937" hidden="1" x14ac:dyDescent="0.3"/>
    <row r="8938" hidden="1" x14ac:dyDescent="0.3"/>
    <row r="8939" hidden="1" x14ac:dyDescent="0.3"/>
    <row r="8940" hidden="1" x14ac:dyDescent="0.3"/>
    <row r="8941" hidden="1" x14ac:dyDescent="0.3"/>
    <row r="8942" hidden="1" x14ac:dyDescent="0.3"/>
    <row r="8943" hidden="1" x14ac:dyDescent="0.3"/>
    <row r="8944" hidden="1" x14ac:dyDescent="0.3"/>
    <row r="8945" hidden="1" x14ac:dyDescent="0.3"/>
    <row r="8946" hidden="1" x14ac:dyDescent="0.3"/>
    <row r="8947" hidden="1" x14ac:dyDescent="0.3"/>
    <row r="8948" hidden="1" x14ac:dyDescent="0.3"/>
    <row r="8949" hidden="1" x14ac:dyDescent="0.3"/>
    <row r="8950" hidden="1" x14ac:dyDescent="0.3"/>
    <row r="8951" hidden="1" x14ac:dyDescent="0.3"/>
    <row r="8952" hidden="1" x14ac:dyDescent="0.3"/>
    <row r="8953" hidden="1" x14ac:dyDescent="0.3"/>
    <row r="8954" hidden="1" x14ac:dyDescent="0.3"/>
    <row r="8955" hidden="1" x14ac:dyDescent="0.3"/>
    <row r="8956" hidden="1" x14ac:dyDescent="0.3"/>
    <row r="8957" hidden="1" x14ac:dyDescent="0.3"/>
    <row r="8958" hidden="1" x14ac:dyDescent="0.3"/>
    <row r="8959" hidden="1" x14ac:dyDescent="0.3"/>
    <row r="8960" hidden="1" x14ac:dyDescent="0.3"/>
    <row r="8961" hidden="1" x14ac:dyDescent="0.3"/>
    <row r="8962" hidden="1" x14ac:dyDescent="0.3"/>
    <row r="8963" hidden="1" x14ac:dyDescent="0.3"/>
    <row r="8964" hidden="1" x14ac:dyDescent="0.3"/>
    <row r="8965" hidden="1" x14ac:dyDescent="0.3"/>
    <row r="8966" hidden="1" x14ac:dyDescent="0.3"/>
    <row r="8967" hidden="1" x14ac:dyDescent="0.3"/>
    <row r="8968" hidden="1" x14ac:dyDescent="0.3"/>
    <row r="8969" hidden="1" x14ac:dyDescent="0.3"/>
    <row r="8970" hidden="1" x14ac:dyDescent="0.3"/>
    <row r="8971" hidden="1" x14ac:dyDescent="0.3"/>
    <row r="8972" hidden="1" x14ac:dyDescent="0.3"/>
    <row r="8973" hidden="1" x14ac:dyDescent="0.3"/>
    <row r="8974" hidden="1" x14ac:dyDescent="0.3"/>
    <row r="8975" hidden="1" x14ac:dyDescent="0.3"/>
    <row r="8976" hidden="1" x14ac:dyDescent="0.3"/>
    <row r="8977" hidden="1" x14ac:dyDescent="0.3"/>
    <row r="8978" hidden="1" x14ac:dyDescent="0.3"/>
    <row r="8979" hidden="1" x14ac:dyDescent="0.3"/>
    <row r="8980" hidden="1" x14ac:dyDescent="0.3"/>
    <row r="8981" hidden="1" x14ac:dyDescent="0.3"/>
    <row r="8982" hidden="1" x14ac:dyDescent="0.3"/>
    <row r="8983" hidden="1" x14ac:dyDescent="0.3"/>
    <row r="8984" hidden="1" x14ac:dyDescent="0.3"/>
    <row r="8985" hidden="1" x14ac:dyDescent="0.3"/>
    <row r="8986" hidden="1" x14ac:dyDescent="0.3"/>
    <row r="8987" hidden="1" x14ac:dyDescent="0.3"/>
    <row r="8988" hidden="1" x14ac:dyDescent="0.3"/>
    <row r="8989" hidden="1" x14ac:dyDescent="0.3"/>
    <row r="8990" hidden="1" x14ac:dyDescent="0.3"/>
    <row r="8991" hidden="1" x14ac:dyDescent="0.3"/>
    <row r="8992" hidden="1" x14ac:dyDescent="0.3"/>
    <row r="8993" hidden="1" x14ac:dyDescent="0.3"/>
    <row r="8994" hidden="1" x14ac:dyDescent="0.3"/>
    <row r="8995" hidden="1" x14ac:dyDescent="0.3"/>
    <row r="8996" hidden="1" x14ac:dyDescent="0.3"/>
    <row r="8997" hidden="1" x14ac:dyDescent="0.3"/>
    <row r="8998" hidden="1" x14ac:dyDescent="0.3"/>
    <row r="8999" hidden="1" x14ac:dyDescent="0.3"/>
    <row r="9000" hidden="1" x14ac:dyDescent="0.3"/>
    <row r="9001" hidden="1" x14ac:dyDescent="0.3"/>
    <row r="9002" hidden="1" x14ac:dyDescent="0.3"/>
    <row r="9003" hidden="1" x14ac:dyDescent="0.3"/>
    <row r="9004" hidden="1" x14ac:dyDescent="0.3"/>
    <row r="9005" hidden="1" x14ac:dyDescent="0.3"/>
    <row r="9006" hidden="1" x14ac:dyDescent="0.3"/>
    <row r="9007" hidden="1" x14ac:dyDescent="0.3"/>
    <row r="9008" hidden="1" x14ac:dyDescent="0.3"/>
    <row r="9009" hidden="1" x14ac:dyDescent="0.3"/>
    <row r="9010" hidden="1" x14ac:dyDescent="0.3"/>
    <row r="9011" hidden="1" x14ac:dyDescent="0.3"/>
    <row r="9012" hidden="1" x14ac:dyDescent="0.3"/>
    <row r="9013" hidden="1" x14ac:dyDescent="0.3"/>
    <row r="9014" hidden="1" x14ac:dyDescent="0.3"/>
    <row r="9015" hidden="1" x14ac:dyDescent="0.3"/>
    <row r="9016" hidden="1" x14ac:dyDescent="0.3"/>
    <row r="9017" hidden="1" x14ac:dyDescent="0.3"/>
    <row r="9018" hidden="1" x14ac:dyDescent="0.3"/>
    <row r="9019" hidden="1" x14ac:dyDescent="0.3"/>
    <row r="9020" hidden="1" x14ac:dyDescent="0.3"/>
    <row r="9021" hidden="1" x14ac:dyDescent="0.3"/>
    <row r="9022" hidden="1" x14ac:dyDescent="0.3"/>
    <row r="9023" hidden="1" x14ac:dyDescent="0.3"/>
    <row r="9024" hidden="1" x14ac:dyDescent="0.3"/>
    <row r="9025" hidden="1" x14ac:dyDescent="0.3"/>
    <row r="9026" hidden="1" x14ac:dyDescent="0.3"/>
    <row r="9027" hidden="1" x14ac:dyDescent="0.3"/>
    <row r="9028" hidden="1" x14ac:dyDescent="0.3"/>
    <row r="9029" hidden="1" x14ac:dyDescent="0.3"/>
    <row r="9030" hidden="1" x14ac:dyDescent="0.3"/>
    <row r="9031" hidden="1" x14ac:dyDescent="0.3"/>
    <row r="9032" hidden="1" x14ac:dyDescent="0.3"/>
    <row r="9033" hidden="1" x14ac:dyDescent="0.3"/>
    <row r="9034" hidden="1" x14ac:dyDescent="0.3"/>
    <row r="9035" hidden="1" x14ac:dyDescent="0.3"/>
    <row r="9036" hidden="1" x14ac:dyDescent="0.3"/>
    <row r="9037" hidden="1" x14ac:dyDescent="0.3"/>
    <row r="9038" hidden="1" x14ac:dyDescent="0.3"/>
    <row r="9039" hidden="1" x14ac:dyDescent="0.3"/>
    <row r="9040" hidden="1" x14ac:dyDescent="0.3"/>
    <row r="9041" hidden="1" x14ac:dyDescent="0.3"/>
    <row r="9042" hidden="1" x14ac:dyDescent="0.3"/>
    <row r="9043" hidden="1" x14ac:dyDescent="0.3"/>
    <row r="9044" hidden="1" x14ac:dyDescent="0.3"/>
    <row r="9045" hidden="1" x14ac:dyDescent="0.3"/>
    <row r="9046" hidden="1" x14ac:dyDescent="0.3"/>
    <row r="9047" hidden="1" x14ac:dyDescent="0.3"/>
    <row r="9048" hidden="1" x14ac:dyDescent="0.3"/>
    <row r="9049" hidden="1" x14ac:dyDescent="0.3"/>
    <row r="9050" hidden="1" x14ac:dyDescent="0.3"/>
    <row r="9051" hidden="1" x14ac:dyDescent="0.3"/>
    <row r="9052" hidden="1" x14ac:dyDescent="0.3"/>
    <row r="9053" hidden="1" x14ac:dyDescent="0.3"/>
    <row r="9054" hidden="1" x14ac:dyDescent="0.3"/>
    <row r="9055" hidden="1" x14ac:dyDescent="0.3"/>
    <row r="9056" hidden="1" x14ac:dyDescent="0.3"/>
    <row r="9057" hidden="1" x14ac:dyDescent="0.3"/>
    <row r="9058" hidden="1" x14ac:dyDescent="0.3"/>
    <row r="9059" hidden="1" x14ac:dyDescent="0.3"/>
    <row r="9060" hidden="1" x14ac:dyDescent="0.3"/>
    <row r="9061" hidden="1" x14ac:dyDescent="0.3"/>
    <row r="9062" hidden="1" x14ac:dyDescent="0.3"/>
    <row r="9063" hidden="1" x14ac:dyDescent="0.3"/>
    <row r="9064" hidden="1" x14ac:dyDescent="0.3"/>
    <row r="9065" hidden="1" x14ac:dyDescent="0.3"/>
    <row r="9066" hidden="1" x14ac:dyDescent="0.3"/>
    <row r="9067" hidden="1" x14ac:dyDescent="0.3"/>
    <row r="9068" hidden="1" x14ac:dyDescent="0.3"/>
    <row r="9069" hidden="1" x14ac:dyDescent="0.3"/>
    <row r="9070" hidden="1" x14ac:dyDescent="0.3"/>
    <row r="9071" hidden="1" x14ac:dyDescent="0.3"/>
    <row r="9072" hidden="1" x14ac:dyDescent="0.3"/>
    <row r="9073" hidden="1" x14ac:dyDescent="0.3"/>
    <row r="9074" hidden="1" x14ac:dyDescent="0.3"/>
    <row r="9075" hidden="1" x14ac:dyDescent="0.3"/>
    <row r="9076" hidden="1" x14ac:dyDescent="0.3"/>
    <row r="9077" hidden="1" x14ac:dyDescent="0.3"/>
    <row r="9078" hidden="1" x14ac:dyDescent="0.3"/>
    <row r="9079" hidden="1" x14ac:dyDescent="0.3"/>
    <row r="9080" hidden="1" x14ac:dyDescent="0.3"/>
    <row r="9081" hidden="1" x14ac:dyDescent="0.3"/>
    <row r="9082" hidden="1" x14ac:dyDescent="0.3"/>
    <row r="9083" hidden="1" x14ac:dyDescent="0.3"/>
    <row r="9084" hidden="1" x14ac:dyDescent="0.3"/>
    <row r="9085" hidden="1" x14ac:dyDescent="0.3"/>
    <row r="9086" hidden="1" x14ac:dyDescent="0.3"/>
    <row r="9087" hidden="1" x14ac:dyDescent="0.3"/>
    <row r="9088" hidden="1" x14ac:dyDescent="0.3"/>
    <row r="9089" hidden="1" x14ac:dyDescent="0.3"/>
    <row r="9090" hidden="1" x14ac:dyDescent="0.3"/>
    <row r="9091" hidden="1" x14ac:dyDescent="0.3"/>
    <row r="9092" hidden="1" x14ac:dyDescent="0.3"/>
    <row r="9093" hidden="1" x14ac:dyDescent="0.3"/>
    <row r="9094" hidden="1" x14ac:dyDescent="0.3"/>
    <row r="9095" hidden="1" x14ac:dyDescent="0.3"/>
    <row r="9096" hidden="1" x14ac:dyDescent="0.3"/>
    <row r="9097" hidden="1" x14ac:dyDescent="0.3"/>
    <row r="9098" hidden="1" x14ac:dyDescent="0.3"/>
    <row r="9099" hidden="1" x14ac:dyDescent="0.3"/>
    <row r="9100" hidden="1" x14ac:dyDescent="0.3"/>
    <row r="9101" hidden="1" x14ac:dyDescent="0.3"/>
    <row r="9102" hidden="1" x14ac:dyDescent="0.3"/>
    <row r="9103" hidden="1" x14ac:dyDescent="0.3"/>
    <row r="9104" hidden="1" x14ac:dyDescent="0.3"/>
    <row r="9105" hidden="1" x14ac:dyDescent="0.3"/>
    <row r="9106" hidden="1" x14ac:dyDescent="0.3"/>
    <row r="9107" hidden="1" x14ac:dyDescent="0.3"/>
    <row r="9108" hidden="1" x14ac:dyDescent="0.3"/>
    <row r="9109" hidden="1" x14ac:dyDescent="0.3"/>
    <row r="9110" hidden="1" x14ac:dyDescent="0.3"/>
    <row r="9111" hidden="1" x14ac:dyDescent="0.3"/>
    <row r="9112" hidden="1" x14ac:dyDescent="0.3"/>
    <row r="9113" hidden="1" x14ac:dyDescent="0.3"/>
    <row r="9114" hidden="1" x14ac:dyDescent="0.3"/>
    <row r="9115" hidden="1" x14ac:dyDescent="0.3"/>
    <row r="9116" hidden="1" x14ac:dyDescent="0.3"/>
    <row r="9117" hidden="1" x14ac:dyDescent="0.3"/>
    <row r="9118" hidden="1" x14ac:dyDescent="0.3"/>
    <row r="9119" hidden="1" x14ac:dyDescent="0.3"/>
    <row r="9120" hidden="1" x14ac:dyDescent="0.3"/>
    <row r="9121" hidden="1" x14ac:dyDescent="0.3"/>
    <row r="9122" hidden="1" x14ac:dyDescent="0.3"/>
    <row r="9123" hidden="1" x14ac:dyDescent="0.3"/>
    <row r="9124" hidden="1" x14ac:dyDescent="0.3"/>
    <row r="9125" hidden="1" x14ac:dyDescent="0.3"/>
    <row r="9126" hidden="1" x14ac:dyDescent="0.3"/>
    <row r="9127" hidden="1" x14ac:dyDescent="0.3"/>
    <row r="9128" hidden="1" x14ac:dyDescent="0.3"/>
    <row r="9129" hidden="1" x14ac:dyDescent="0.3"/>
    <row r="9130" hidden="1" x14ac:dyDescent="0.3"/>
    <row r="9131" hidden="1" x14ac:dyDescent="0.3"/>
    <row r="9132" hidden="1" x14ac:dyDescent="0.3"/>
    <row r="9133" hidden="1" x14ac:dyDescent="0.3"/>
    <row r="9134" hidden="1" x14ac:dyDescent="0.3"/>
    <row r="9135" hidden="1" x14ac:dyDescent="0.3"/>
    <row r="9136" hidden="1" x14ac:dyDescent="0.3"/>
    <row r="9137" hidden="1" x14ac:dyDescent="0.3"/>
    <row r="9138" hidden="1" x14ac:dyDescent="0.3"/>
    <row r="9139" hidden="1" x14ac:dyDescent="0.3"/>
    <row r="9140" hidden="1" x14ac:dyDescent="0.3"/>
    <row r="9141" hidden="1" x14ac:dyDescent="0.3"/>
    <row r="9142" hidden="1" x14ac:dyDescent="0.3"/>
    <row r="9143" hidden="1" x14ac:dyDescent="0.3"/>
    <row r="9144" hidden="1" x14ac:dyDescent="0.3"/>
    <row r="9145" hidden="1" x14ac:dyDescent="0.3"/>
    <row r="9146" hidden="1" x14ac:dyDescent="0.3"/>
    <row r="9147" hidden="1" x14ac:dyDescent="0.3"/>
    <row r="9148" hidden="1" x14ac:dyDescent="0.3"/>
    <row r="9149" hidden="1" x14ac:dyDescent="0.3"/>
    <row r="9150" hidden="1" x14ac:dyDescent="0.3"/>
    <row r="9151" hidden="1" x14ac:dyDescent="0.3"/>
    <row r="9152" hidden="1" x14ac:dyDescent="0.3"/>
    <row r="9153" hidden="1" x14ac:dyDescent="0.3"/>
    <row r="9154" hidden="1" x14ac:dyDescent="0.3"/>
    <row r="9155" hidden="1" x14ac:dyDescent="0.3"/>
    <row r="9156" hidden="1" x14ac:dyDescent="0.3"/>
    <row r="9157" hidden="1" x14ac:dyDescent="0.3"/>
    <row r="9158" hidden="1" x14ac:dyDescent="0.3"/>
    <row r="9159" hidden="1" x14ac:dyDescent="0.3"/>
    <row r="9160" hidden="1" x14ac:dyDescent="0.3"/>
    <row r="9161" hidden="1" x14ac:dyDescent="0.3"/>
    <row r="9162" hidden="1" x14ac:dyDescent="0.3"/>
    <row r="9163" hidden="1" x14ac:dyDescent="0.3"/>
    <row r="9164" hidden="1" x14ac:dyDescent="0.3"/>
    <row r="9165" hidden="1" x14ac:dyDescent="0.3"/>
    <row r="9166" hidden="1" x14ac:dyDescent="0.3"/>
    <row r="9167" hidden="1" x14ac:dyDescent="0.3"/>
    <row r="9168" hidden="1" x14ac:dyDescent="0.3"/>
    <row r="9169" hidden="1" x14ac:dyDescent="0.3"/>
    <row r="9170" hidden="1" x14ac:dyDescent="0.3"/>
    <row r="9171" hidden="1" x14ac:dyDescent="0.3"/>
    <row r="9172" hidden="1" x14ac:dyDescent="0.3"/>
    <row r="9173" hidden="1" x14ac:dyDescent="0.3"/>
    <row r="9174" hidden="1" x14ac:dyDescent="0.3"/>
    <row r="9175" hidden="1" x14ac:dyDescent="0.3"/>
    <row r="9176" hidden="1" x14ac:dyDescent="0.3"/>
    <row r="9177" hidden="1" x14ac:dyDescent="0.3"/>
    <row r="9178" hidden="1" x14ac:dyDescent="0.3"/>
    <row r="9179" hidden="1" x14ac:dyDescent="0.3"/>
    <row r="9180" hidden="1" x14ac:dyDescent="0.3"/>
    <row r="9181" hidden="1" x14ac:dyDescent="0.3"/>
    <row r="9182" hidden="1" x14ac:dyDescent="0.3"/>
    <row r="9183" hidden="1" x14ac:dyDescent="0.3"/>
    <row r="9184" hidden="1" x14ac:dyDescent="0.3"/>
    <row r="9185" hidden="1" x14ac:dyDescent="0.3"/>
    <row r="9186" hidden="1" x14ac:dyDescent="0.3"/>
    <row r="9187" hidden="1" x14ac:dyDescent="0.3"/>
    <row r="9188" hidden="1" x14ac:dyDescent="0.3"/>
    <row r="9189" hidden="1" x14ac:dyDescent="0.3"/>
    <row r="9190" hidden="1" x14ac:dyDescent="0.3"/>
    <row r="9191" hidden="1" x14ac:dyDescent="0.3"/>
    <row r="9192" hidden="1" x14ac:dyDescent="0.3"/>
    <row r="9193" hidden="1" x14ac:dyDescent="0.3"/>
    <row r="9194" hidden="1" x14ac:dyDescent="0.3"/>
    <row r="9195" hidden="1" x14ac:dyDescent="0.3"/>
    <row r="9196" hidden="1" x14ac:dyDescent="0.3"/>
    <row r="9197" hidden="1" x14ac:dyDescent="0.3"/>
    <row r="9198" hidden="1" x14ac:dyDescent="0.3"/>
    <row r="9199" hidden="1" x14ac:dyDescent="0.3"/>
    <row r="9200" hidden="1" x14ac:dyDescent="0.3"/>
    <row r="9201" hidden="1" x14ac:dyDescent="0.3"/>
    <row r="9202" hidden="1" x14ac:dyDescent="0.3"/>
    <row r="9203" hidden="1" x14ac:dyDescent="0.3"/>
    <row r="9204" hidden="1" x14ac:dyDescent="0.3"/>
    <row r="9205" hidden="1" x14ac:dyDescent="0.3"/>
    <row r="9206" hidden="1" x14ac:dyDescent="0.3"/>
    <row r="9207" hidden="1" x14ac:dyDescent="0.3"/>
    <row r="9208" hidden="1" x14ac:dyDescent="0.3"/>
    <row r="9209" hidden="1" x14ac:dyDescent="0.3"/>
    <row r="9210" hidden="1" x14ac:dyDescent="0.3"/>
    <row r="9211" hidden="1" x14ac:dyDescent="0.3"/>
    <row r="9212" hidden="1" x14ac:dyDescent="0.3"/>
    <row r="9213" hidden="1" x14ac:dyDescent="0.3"/>
    <row r="9214" hidden="1" x14ac:dyDescent="0.3"/>
    <row r="9215" hidden="1" x14ac:dyDescent="0.3"/>
    <row r="9216" hidden="1" x14ac:dyDescent="0.3"/>
    <row r="9217" hidden="1" x14ac:dyDescent="0.3"/>
    <row r="9218" hidden="1" x14ac:dyDescent="0.3"/>
    <row r="9219" hidden="1" x14ac:dyDescent="0.3"/>
    <row r="9220" hidden="1" x14ac:dyDescent="0.3"/>
    <row r="9221" hidden="1" x14ac:dyDescent="0.3"/>
    <row r="9222" hidden="1" x14ac:dyDescent="0.3"/>
    <row r="9223" hidden="1" x14ac:dyDescent="0.3"/>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87"/>
  <sheetViews>
    <sheetView topLeftCell="A3" workbookViewId="0">
      <selection activeCell="C7" sqref="C7"/>
    </sheetView>
  </sheetViews>
  <sheetFormatPr defaultRowHeight="15.6" x14ac:dyDescent="0.3"/>
  <cols>
    <col min="1" max="1" width="19.09765625" customWidth="1"/>
    <col min="2" max="2" width="16.296875" customWidth="1"/>
    <col min="3" max="3" width="7.3984375" customWidth="1"/>
    <col min="4" max="4" width="15.69921875" customWidth="1"/>
    <col min="5" max="6" width="7.296875" customWidth="1"/>
    <col min="7" max="7" width="12" bestFit="1" customWidth="1"/>
    <col min="8" max="8" width="19.19921875" bestFit="1" customWidth="1"/>
    <col min="9" max="9" width="10.8984375" bestFit="1" customWidth="1"/>
    <col min="10" max="10" width="17.59765625" bestFit="1" customWidth="1"/>
    <col min="11" max="11" width="10" bestFit="1" customWidth="1"/>
    <col min="12" max="12" width="6.296875" customWidth="1"/>
    <col min="13" max="13" width="6.59765625" customWidth="1"/>
    <col min="14" max="14" width="7.69921875" customWidth="1"/>
    <col min="15" max="15" width="11.19921875" bestFit="1" customWidth="1"/>
    <col min="16" max="16" width="10.09765625" bestFit="1" customWidth="1"/>
    <col min="17" max="17" width="12.5" bestFit="1" customWidth="1"/>
    <col min="18" max="18" width="6.796875" customWidth="1"/>
  </cols>
  <sheetData>
    <row r="1" spans="1:6" x14ac:dyDescent="0.3">
      <c r="A1" s="18"/>
      <c r="B1" s="20"/>
      <c r="C1" s="20"/>
      <c r="D1" s="5"/>
    </row>
    <row r="2" spans="1:6" ht="16.2" thickBot="1" x14ac:dyDescent="0.35">
      <c r="A2" s="48" t="s">
        <v>1616</v>
      </c>
      <c r="B2" s="49"/>
      <c r="C2" s="49"/>
      <c r="D2" s="50"/>
    </row>
    <row r="3" spans="1:6" ht="16.2" thickBot="1" x14ac:dyDescent="0.35">
      <c r="A3" s="7" t="s">
        <v>1621</v>
      </c>
      <c r="B3" s="8" t="s">
        <v>1622</v>
      </c>
      <c r="C3" s="8" t="s">
        <v>1623</v>
      </c>
      <c r="D3" s="9" t="s">
        <v>1611</v>
      </c>
    </row>
    <row r="4" spans="1:6" ht="16.2" thickBot="1" x14ac:dyDescent="0.35">
      <c r="A4" s="29">
        <v>1201681.4928000034</v>
      </c>
      <c r="B4" s="30">
        <v>140.99278338613203</v>
      </c>
      <c r="C4" s="6">
        <v>8523</v>
      </c>
      <c r="D4" s="28">
        <v>3.9658570925731196</v>
      </c>
    </row>
    <row r="5" spans="1:6" x14ac:dyDescent="0.3">
      <c r="A5" s="1"/>
      <c r="B5" s="2"/>
      <c r="C5" s="2"/>
      <c r="D5" s="3"/>
    </row>
    <row r="6" spans="1:6" x14ac:dyDescent="0.3">
      <c r="A6" s="25" t="s">
        <v>1612</v>
      </c>
      <c r="B6" s="26" t="s">
        <v>1613</v>
      </c>
      <c r="C6" s="26" t="s">
        <v>1614</v>
      </c>
      <c r="D6" s="27" t="s">
        <v>1615</v>
      </c>
    </row>
    <row r="7" spans="1:6" x14ac:dyDescent="0.3">
      <c r="A7" s="21">
        <v>1201681.4928000034</v>
      </c>
      <c r="B7" s="22">
        <v>140.99278338613203</v>
      </c>
      <c r="C7" s="23">
        <v>8523</v>
      </c>
      <c r="D7" s="24">
        <v>3.9658570925731196</v>
      </c>
    </row>
    <row r="8" spans="1:6" ht="16.2" thickBot="1" x14ac:dyDescent="0.35">
      <c r="A8" s="12"/>
      <c r="B8" s="4"/>
      <c r="C8" s="4"/>
      <c r="D8" s="13"/>
    </row>
    <row r="9" spans="1:6" x14ac:dyDescent="0.3">
      <c r="C9" s="19"/>
    </row>
    <row r="10" spans="1:6" ht="16.2" thickBot="1" x14ac:dyDescent="0.35"/>
    <row r="11" spans="1:6" x14ac:dyDescent="0.3">
      <c r="A11" s="18"/>
      <c r="B11" s="20"/>
      <c r="C11" s="20"/>
      <c r="D11" s="20"/>
      <c r="E11" s="20"/>
      <c r="F11" s="5"/>
    </row>
    <row r="12" spans="1:6" x14ac:dyDescent="0.3">
      <c r="A12" s="1"/>
      <c r="B12" s="2"/>
      <c r="C12" s="2"/>
      <c r="D12" s="2"/>
      <c r="E12" s="2"/>
      <c r="F12" s="3"/>
    </row>
    <row r="13" spans="1:6" ht="16.2" thickBot="1" x14ac:dyDescent="0.35">
      <c r="A13" s="48" t="s">
        <v>1619</v>
      </c>
      <c r="B13" s="49"/>
      <c r="C13" s="49"/>
      <c r="D13" s="50"/>
      <c r="E13" s="2"/>
      <c r="F13" s="3"/>
    </row>
    <row r="14" spans="1:6" ht="16.2" thickBot="1" x14ac:dyDescent="0.35">
      <c r="A14" s="14" t="s">
        <v>1617</v>
      </c>
      <c r="B14" s="40" t="s">
        <v>1621</v>
      </c>
      <c r="C14" s="2"/>
      <c r="D14" s="2"/>
      <c r="E14" s="2"/>
      <c r="F14" s="3"/>
    </row>
    <row r="15" spans="1:6" x14ac:dyDescent="0.3">
      <c r="A15" s="17" t="s">
        <v>17</v>
      </c>
      <c r="B15" s="32">
        <v>776319.68840000057</v>
      </c>
      <c r="C15" s="2"/>
      <c r="D15" s="2"/>
      <c r="E15" s="2"/>
      <c r="F15" s="3"/>
    </row>
    <row r="16" spans="1:6" ht="16.2" thickBot="1" x14ac:dyDescent="0.35">
      <c r="A16" s="16" t="s">
        <v>10</v>
      </c>
      <c r="B16" s="31">
        <v>425249.54999999952</v>
      </c>
      <c r="C16" s="2"/>
      <c r="D16" s="2"/>
      <c r="E16" s="2"/>
      <c r="F16" s="3"/>
    </row>
    <row r="17" spans="1:9" ht="16.2" thickBot="1" x14ac:dyDescent="0.35">
      <c r="A17" s="15" t="s">
        <v>1618</v>
      </c>
      <c r="B17" s="33">
        <v>1201569.2384000001</v>
      </c>
      <c r="C17" s="2"/>
      <c r="D17" s="2"/>
      <c r="E17" s="2"/>
      <c r="F17" s="3"/>
    </row>
    <row r="18" spans="1:9" x14ac:dyDescent="0.3">
      <c r="A18" s="1"/>
      <c r="B18" s="2"/>
      <c r="C18" s="2"/>
      <c r="D18" s="2"/>
      <c r="E18" s="2"/>
      <c r="F18" s="3"/>
    </row>
    <row r="19" spans="1:9" x14ac:dyDescent="0.3">
      <c r="A19" s="1"/>
      <c r="B19" s="2"/>
      <c r="C19" s="2"/>
      <c r="D19" s="2"/>
      <c r="E19" s="2"/>
      <c r="F19" s="3"/>
    </row>
    <row r="20" spans="1:9" x14ac:dyDescent="0.3">
      <c r="A20" s="1"/>
      <c r="B20" s="2"/>
      <c r="C20" s="2"/>
      <c r="D20" s="2"/>
      <c r="E20" s="2"/>
      <c r="F20" s="3"/>
    </row>
    <row r="21" spans="1:9" x14ac:dyDescent="0.3">
      <c r="A21" s="1"/>
      <c r="B21" s="2"/>
      <c r="C21" s="2"/>
      <c r="D21" s="2"/>
      <c r="E21" s="2"/>
      <c r="F21" s="3"/>
    </row>
    <row r="22" spans="1:9" x14ac:dyDescent="0.3">
      <c r="A22" s="1"/>
      <c r="B22" s="2"/>
      <c r="C22" s="2"/>
      <c r="D22" s="2"/>
      <c r="E22" s="2"/>
      <c r="F22" s="3"/>
    </row>
    <row r="23" spans="1:9" x14ac:dyDescent="0.3">
      <c r="A23" s="1"/>
      <c r="B23" s="2"/>
      <c r="C23" s="2"/>
      <c r="D23" s="2"/>
      <c r="E23" s="2"/>
      <c r="F23" s="3"/>
    </row>
    <row r="24" spans="1:9" x14ac:dyDescent="0.3">
      <c r="A24" s="1"/>
      <c r="B24" s="2"/>
      <c r="C24" s="2"/>
      <c r="D24" s="2"/>
      <c r="E24" s="2"/>
      <c r="F24" s="3"/>
    </row>
    <row r="25" spans="1:9" ht="16.2" thickBot="1" x14ac:dyDescent="0.35">
      <c r="A25" s="12"/>
      <c r="B25" s="4"/>
      <c r="C25" s="4"/>
      <c r="D25" s="4"/>
      <c r="E25" s="4"/>
      <c r="F25" s="13"/>
    </row>
    <row r="27" spans="1:9" ht="16.2" thickBot="1" x14ac:dyDescent="0.35"/>
    <row r="28" spans="1:9" x14ac:dyDescent="0.3">
      <c r="A28" s="18"/>
      <c r="B28" s="20"/>
      <c r="C28" s="20"/>
      <c r="D28" s="20"/>
      <c r="E28" s="20"/>
      <c r="F28" s="20"/>
      <c r="G28" s="20"/>
      <c r="H28" s="20"/>
      <c r="I28" s="5"/>
    </row>
    <row r="29" spans="1:9" ht="16.2" thickBot="1" x14ac:dyDescent="0.35">
      <c r="A29" s="51" t="s">
        <v>1625</v>
      </c>
      <c r="B29" s="52"/>
      <c r="C29" s="52"/>
      <c r="D29" s="53"/>
      <c r="E29" s="2"/>
      <c r="F29" s="2"/>
      <c r="G29" s="2"/>
      <c r="H29" s="2"/>
      <c r="I29" s="3"/>
    </row>
    <row r="30" spans="1:9" ht="16.2" thickBot="1" x14ac:dyDescent="0.35">
      <c r="A30" s="14" t="s">
        <v>1621</v>
      </c>
      <c r="B30" s="14" t="s">
        <v>1620</v>
      </c>
      <c r="C30" s="40"/>
      <c r="D30" s="2"/>
      <c r="E30" s="2"/>
      <c r="F30" s="2"/>
      <c r="G30" s="2"/>
      <c r="H30" s="2"/>
      <c r="I30" s="3"/>
    </row>
    <row r="31" spans="1:9" ht="16.2" thickBot="1" x14ac:dyDescent="0.35">
      <c r="A31" s="14" t="s">
        <v>1617</v>
      </c>
      <c r="B31" s="7" t="s">
        <v>10</v>
      </c>
      <c r="C31" s="9" t="s">
        <v>17</v>
      </c>
      <c r="D31" s="2"/>
      <c r="E31" s="2"/>
      <c r="F31" s="2"/>
      <c r="G31" s="2"/>
      <c r="H31" s="2"/>
      <c r="I31" s="3"/>
    </row>
    <row r="32" spans="1:9" x14ac:dyDescent="0.3">
      <c r="A32" s="17" t="s">
        <v>14</v>
      </c>
      <c r="B32" s="36">
        <v>121349.89940000001</v>
      </c>
      <c r="C32" s="37">
        <v>215047.9126000001</v>
      </c>
      <c r="D32" s="2"/>
      <c r="E32" s="2"/>
      <c r="F32" s="2"/>
      <c r="G32" s="2"/>
      <c r="H32" s="2"/>
      <c r="I32" s="3"/>
    </row>
    <row r="33" spans="1:10" x14ac:dyDescent="0.3">
      <c r="A33" s="41" t="s">
        <v>34</v>
      </c>
      <c r="B33" s="38">
        <v>138685.86819999994</v>
      </c>
      <c r="C33" s="34">
        <v>254464.77940000014</v>
      </c>
      <c r="D33" s="2"/>
      <c r="E33" s="2"/>
      <c r="F33" s="2"/>
      <c r="G33" s="2"/>
      <c r="H33" s="2"/>
      <c r="I33" s="3"/>
    </row>
    <row r="34" spans="1:10" ht="16.2" thickBot="1" x14ac:dyDescent="0.35">
      <c r="A34" s="16" t="s">
        <v>21</v>
      </c>
      <c r="B34" s="39">
        <v>165213.7824</v>
      </c>
      <c r="C34" s="35">
        <v>306806.99640000012</v>
      </c>
      <c r="D34" s="2"/>
      <c r="E34" s="2"/>
      <c r="F34" s="2"/>
      <c r="G34" s="2"/>
      <c r="H34" s="2"/>
      <c r="I34" s="3"/>
    </row>
    <row r="35" spans="1:10" x14ac:dyDescent="0.3">
      <c r="A35" s="1"/>
      <c r="B35" s="2"/>
      <c r="C35" s="2"/>
      <c r="D35" s="2"/>
      <c r="E35" s="2"/>
      <c r="F35" s="2"/>
      <c r="G35" s="2"/>
      <c r="H35" s="2"/>
      <c r="I35" s="3"/>
    </row>
    <row r="36" spans="1:10" x14ac:dyDescent="0.3">
      <c r="A36" s="1"/>
      <c r="B36" s="2"/>
      <c r="C36" s="2"/>
      <c r="D36" s="2"/>
      <c r="E36" s="2"/>
      <c r="F36" s="2"/>
      <c r="G36" s="2"/>
      <c r="H36" s="2"/>
      <c r="I36" s="3"/>
    </row>
    <row r="37" spans="1:10" x14ac:dyDescent="0.3">
      <c r="A37" s="1"/>
      <c r="B37" s="2"/>
      <c r="C37" s="2"/>
      <c r="D37" s="2"/>
      <c r="E37" s="2"/>
      <c r="F37" s="2"/>
      <c r="G37" s="2"/>
      <c r="H37" s="2"/>
      <c r="I37" s="3"/>
      <c r="J37" s="61">
        <f>SUM(Sheet5!A7)</f>
        <v>1201681.4928000034</v>
      </c>
    </row>
    <row r="38" spans="1:10" x14ac:dyDescent="0.3">
      <c r="A38" s="1"/>
      <c r="B38" s="2"/>
      <c r="C38" s="2"/>
      <c r="D38" s="2"/>
      <c r="E38" s="2"/>
      <c r="F38" s="2"/>
      <c r="G38" s="2"/>
      <c r="H38" s="2"/>
      <c r="I38" s="3"/>
    </row>
    <row r="39" spans="1:10" x14ac:dyDescent="0.3">
      <c r="A39" s="1"/>
      <c r="B39" s="2"/>
      <c r="C39" s="2"/>
      <c r="D39" s="2"/>
      <c r="E39" s="2"/>
      <c r="F39" s="2"/>
      <c r="G39" s="2"/>
      <c r="H39" s="2"/>
      <c r="I39" s="3"/>
    </row>
    <row r="40" spans="1:10" ht="16.2" thickBot="1" x14ac:dyDescent="0.35">
      <c r="A40" s="12"/>
      <c r="B40" s="4"/>
      <c r="C40" s="4"/>
      <c r="D40" s="4"/>
      <c r="E40" s="4"/>
      <c r="F40" s="4"/>
      <c r="G40" s="4"/>
      <c r="H40" s="4"/>
      <c r="I40" s="13"/>
    </row>
    <row r="42" spans="1:10" ht="16.2" thickBot="1" x14ac:dyDescent="0.35"/>
    <row r="43" spans="1:10" ht="16.2" thickBot="1" x14ac:dyDescent="0.35">
      <c r="A43" s="18"/>
      <c r="B43" s="54" t="s">
        <v>1624</v>
      </c>
      <c r="C43" s="55"/>
      <c r="D43" s="55"/>
      <c r="E43" s="56"/>
      <c r="F43" s="20"/>
      <c r="G43" s="20"/>
      <c r="H43" s="20"/>
      <c r="I43" s="20"/>
      <c r="J43" s="5"/>
    </row>
    <row r="44" spans="1:10" ht="16.2" thickBot="1" x14ac:dyDescent="0.35">
      <c r="A44" s="14" t="s">
        <v>1617</v>
      </c>
      <c r="B44" s="40" t="s">
        <v>1621</v>
      </c>
      <c r="C44" s="2"/>
      <c r="D44" s="2"/>
      <c r="E44" s="2"/>
      <c r="F44" s="2"/>
      <c r="G44" s="2"/>
      <c r="H44" s="2"/>
      <c r="I44" s="2"/>
      <c r="J44" s="3"/>
    </row>
    <row r="45" spans="1:10" x14ac:dyDescent="0.3">
      <c r="A45" s="17" t="s">
        <v>12</v>
      </c>
      <c r="B45" s="32">
        <v>178124.08099999995</v>
      </c>
      <c r="C45" s="2"/>
      <c r="D45" s="2"/>
      <c r="E45" s="2"/>
      <c r="F45" s="2"/>
      <c r="G45" s="2"/>
      <c r="H45" s="2"/>
      <c r="I45" s="2"/>
      <c r="J45" s="3"/>
    </row>
    <row r="46" spans="1:10" x14ac:dyDescent="0.3">
      <c r="A46" s="41" t="s">
        <v>48</v>
      </c>
      <c r="B46" s="31">
        <v>175433.92240000021</v>
      </c>
      <c r="C46" s="2"/>
      <c r="D46" s="2"/>
      <c r="E46" s="2"/>
      <c r="F46" s="2"/>
      <c r="G46" s="2"/>
      <c r="H46" s="2"/>
      <c r="I46" s="2"/>
      <c r="J46" s="3"/>
    </row>
    <row r="47" spans="1:10" x14ac:dyDescent="0.3">
      <c r="A47" s="41" t="s">
        <v>42</v>
      </c>
      <c r="B47" s="31">
        <v>135976.52539999998</v>
      </c>
      <c r="C47" s="2"/>
      <c r="D47" s="2"/>
      <c r="E47" s="2"/>
      <c r="F47" s="2"/>
      <c r="G47" s="2"/>
      <c r="H47" s="2"/>
      <c r="I47" s="2"/>
      <c r="J47" s="3"/>
    </row>
    <row r="48" spans="1:10" x14ac:dyDescent="0.3">
      <c r="A48" s="41" t="s">
        <v>24</v>
      </c>
      <c r="B48" s="31">
        <v>118558.88140000009</v>
      </c>
      <c r="C48" s="2"/>
      <c r="D48" s="2"/>
      <c r="E48" s="2"/>
      <c r="F48" s="2"/>
      <c r="G48" s="2"/>
      <c r="H48" s="2"/>
      <c r="I48" s="2"/>
      <c r="J48" s="3"/>
    </row>
    <row r="49" spans="1:10" x14ac:dyDescent="0.3">
      <c r="A49" s="41" t="s">
        <v>67</v>
      </c>
      <c r="B49" s="31">
        <v>101276.46159999995</v>
      </c>
      <c r="C49" s="2"/>
      <c r="D49" s="2"/>
      <c r="E49" s="2"/>
      <c r="F49" s="2"/>
      <c r="G49" s="2"/>
      <c r="H49" s="2"/>
      <c r="I49" s="2"/>
      <c r="J49" s="3"/>
    </row>
    <row r="50" spans="1:10" x14ac:dyDescent="0.3">
      <c r="A50" s="41" t="s">
        <v>28</v>
      </c>
      <c r="B50" s="31">
        <v>90706.728999999992</v>
      </c>
      <c r="C50" s="2"/>
      <c r="D50" s="2"/>
      <c r="E50" s="2"/>
      <c r="F50" s="2"/>
      <c r="G50" s="2"/>
      <c r="H50" s="2"/>
      <c r="I50" s="2"/>
      <c r="J50" s="3"/>
    </row>
    <row r="51" spans="1:10" x14ac:dyDescent="0.3">
      <c r="A51" s="41" t="s">
        <v>95</v>
      </c>
      <c r="B51" s="31">
        <v>81894.736400000009</v>
      </c>
      <c r="C51" s="2"/>
      <c r="D51" s="2"/>
      <c r="E51" s="2"/>
      <c r="F51" s="2"/>
      <c r="G51" s="2"/>
      <c r="H51" s="2"/>
      <c r="I51" s="2"/>
      <c r="J51" s="3"/>
    </row>
    <row r="52" spans="1:10" x14ac:dyDescent="0.3">
      <c r="A52" s="41" t="s">
        <v>19</v>
      </c>
      <c r="B52" s="31">
        <v>68025.838800000012</v>
      </c>
      <c r="C52" s="2"/>
      <c r="D52" s="2"/>
      <c r="E52" s="2"/>
      <c r="F52" s="2"/>
      <c r="G52" s="2"/>
      <c r="H52" s="2"/>
      <c r="I52" s="2"/>
      <c r="J52" s="3"/>
    </row>
    <row r="53" spans="1:10" x14ac:dyDescent="0.3">
      <c r="A53" s="41" t="s">
        <v>54</v>
      </c>
      <c r="B53" s="31">
        <v>59449.863799999992</v>
      </c>
      <c r="C53" s="2"/>
      <c r="D53" s="2"/>
      <c r="E53" s="2"/>
      <c r="F53" s="2"/>
      <c r="G53" s="2"/>
      <c r="H53" s="2"/>
      <c r="I53" s="2"/>
      <c r="J53" s="3"/>
    </row>
    <row r="54" spans="1:10" x14ac:dyDescent="0.3">
      <c r="A54" s="41" t="s">
        <v>32</v>
      </c>
      <c r="B54" s="31">
        <v>58514.166999999987</v>
      </c>
      <c r="C54" s="2"/>
      <c r="D54" s="2"/>
      <c r="E54" s="2"/>
      <c r="F54" s="2"/>
      <c r="G54" s="2"/>
      <c r="H54" s="2"/>
      <c r="I54" s="2"/>
      <c r="J54" s="3"/>
    </row>
    <row r="55" spans="1:10" x14ac:dyDescent="0.3">
      <c r="A55" s="41" t="s">
        <v>57</v>
      </c>
      <c r="B55" s="31">
        <v>35379.119800000015</v>
      </c>
      <c r="C55" s="2"/>
      <c r="D55" s="2"/>
      <c r="E55" s="2"/>
      <c r="F55" s="2"/>
      <c r="G55" s="2"/>
      <c r="H55" s="2"/>
      <c r="I55" s="2"/>
      <c r="J55" s="3"/>
    </row>
    <row r="56" spans="1:10" x14ac:dyDescent="0.3">
      <c r="A56" s="41" t="s">
        <v>61</v>
      </c>
      <c r="B56" s="31">
        <v>29334.680599999996</v>
      </c>
      <c r="C56" s="2"/>
      <c r="D56" s="2"/>
      <c r="E56" s="2"/>
      <c r="F56" s="2"/>
      <c r="G56" s="2"/>
      <c r="H56" s="2"/>
      <c r="I56" s="2"/>
      <c r="J56" s="3"/>
    </row>
    <row r="57" spans="1:10" x14ac:dyDescent="0.3">
      <c r="A57" s="41" t="s">
        <v>64</v>
      </c>
      <c r="B57" s="31">
        <v>22451.891599999999</v>
      </c>
      <c r="C57" s="2"/>
      <c r="D57" s="2"/>
      <c r="E57" s="2"/>
      <c r="F57" s="2"/>
      <c r="G57" s="2"/>
      <c r="H57" s="2"/>
      <c r="I57" s="2"/>
      <c r="J57" s="3"/>
    </row>
    <row r="58" spans="1:10" x14ac:dyDescent="0.3">
      <c r="A58" s="41" t="s">
        <v>159</v>
      </c>
      <c r="B58" s="31">
        <v>21880.027399999992</v>
      </c>
      <c r="C58" s="2"/>
      <c r="D58" s="2"/>
      <c r="E58" s="2"/>
      <c r="F58" s="2"/>
      <c r="G58" s="2"/>
      <c r="H58" s="2"/>
      <c r="I58" s="2"/>
      <c r="J58" s="3"/>
    </row>
    <row r="59" spans="1:10" x14ac:dyDescent="0.3">
      <c r="A59" s="41" t="s">
        <v>74</v>
      </c>
      <c r="B59" s="31">
        <v>15596.696600000001</v>
      </c>
      <c r="C59" s="2"/>
      <c r="D59" s="2"/>
      <c r="E59" s="2"/>
      <c r="F59" s="2"/>
      <c r="G59" s="2"/>
      <c r="H59" s="2"/>
      <c r="I59" s="2"/>
      <c r="J59" s="3"/>
    </row>
    <row r="60" spans="1:10" ht="16.2" thickBot="1" x14ac:dyDescent="0.35">
      <c r="A60" s="16" t="s">
        <v>153</v>
      </c>
      <c r="B60" s="33">
        <v>9077.869999999999</v>
      </c>
      <c r="C60" s="2"/>
      <c r="D60" s="2"/>
      <c r="E60" s="2"/>
      <c r="F60" s="2"/>
      <c r="G60" s="2"/>
      <c r="H60" s="2"/>
      <c r="I60" s="2"/>
      <c r="J60" s="3"/>
    </row>
    <row r="61" spans="1:10" x14ac:dyDescent="0.3">
      <c r="C61" s="2"/>
      <c r="D61" s="2"/>
      <c r="E61" s="2"/>
      <c r="F61" s="2"/>
      <c r="G61" s="2"/>
      <c r="H61" s="2"/>
      <c r="I61" s="2"/>
      <c r="J61" s="3"/>
    </row>
    <row r="62" spans="1:10" ht="16.2" thickBot="1" x14ac:dyDescent="0.35">
      <c r="A62" s="12"/>
      <c r="B62" s="4"/>
      <c r="C62" s="4"/>
      <c r="D62" s="4"/>
      <c r="E62" s="4"/>
      <c r="F62" s="4"/>
      <c r="G62" s="4"/>
      <c r="H62" s="4"/>
      <c r="I62" s="4"/>
      <c r="J62" s="13"/>
    </row>
    <row r="63" spans="1:10" x14ac:dyDescent="0.3">
      <c r="A63" s="18"/>
      <c r="B63" s="20"/>
      <c r="C63" s="20"/>
      <c r="D63" s="20"/>
      <c r="E63" s="20"/>
      <c r="F63" s="20"/>
      <c r="G63" s="20"/>
      <c r="H63" s="20"/>
      <c r="I63" s="20"/>
      <c r="J63" s="5"/>
    </row>
    <row r="64" spans="1:10" ht="16.2" thickBot="1" x14ac:dyDescent="0.35">
      <c r="A64" s="57" t="s">
        <v>1630</v>
      </c>
      <c r="B64" s="58"/>
      <c r="C64" s="2"/>
      <c r="D64" s="2"/>
      <c r="E64" s="2"/>
      <c r="F64" s="2"/>
      <c r="G64" s="2"/>
      <c r="H64" s="2"/>
      <c r="I64" s="2"/>
      <c r="J64" s="3"/>
    </row>
    <row r="65" spans="1:10" ht="16.2" thickBot="1" x14ac:dyDescent="0.35">
      <c r="A65" s="14" t="s">
        <v>1617</v>
      </c>
      <c r="B65" s="40" t="s">
        <v>1621</v>
      </c>
      <c r="C65" s="2"/>
      <c r="D65" s="2"/>
      <c r="E65" s="2"/>
      <c r="F65" s="2"/>
      <c r="G65" s="2"/>
      <c r="H65" s="2"/>
      <c r="I65" s="2"/>
      <c r="J65" s="3"/>
    </row>
    <row r="66" spans="1:10" x14ac:dyDescent="0.3">
      <c r="A66" s="41">
        <v>2011</v>
      </c>
      <c r="B66" s="32">
        <v>78131.566599999976</v>
      </c>
      <c r="C66" s="2"/>
      <c r="D66" s="2"/>
      <c r="E66" s="2"/>
      <c r="F66" s="2"/>
      <c r="G66" s="2"/>
      <c r="H66" s="2"/>
      <c r="I66" s="2"/>
      <c r="J66" s="3"/>
    </row>
    <row r="67" spans="1:10" x14ac:dyDescent="0.3">
      <c r="A67" s="41">
        <v>2012</v>
      </c>
      <c r="B67" s="31">
        <v>130476.85979999998</v>
      </c>
      <c r="C67" s="2"/>
      <c r="D67" s="2"/>
      <c r="E67" s="2"/>
      <c r="F67" s="2"/>
      <c r="G67" s="2"/>
      <c r="H67" s="2"/>
      <c r="I67" s="2"/>
      <c r="J67" s="3"/>
    </row>
    <row r="68" spans="1:10" x14ac:dyDescent="0.3">
      <c r="A68" s="41">
        <v>2014</v>
      </c>
      <c r="B68" s="31">
        <v>131809.01560000007</v>
      </c>
      <c r="C68" s="2"/>
      <c r="D68" s="2"/>
      <c r="E68" s="2"/>
      <c r="F68" s="2"/>
      <c r="G68" s="2"/>
      <c r="H68" s="2"/>
      <c r="I68" s="2"/>
      <c r="J68" s="3"/>
    </row>
    <row r="69" spans="1:10" x14ac:dyDescent="0.3">
      <c r="A69" s="41">
        <v>2015</v>
      </c>
      <c r="B69" s="31">
        <v>130942.78019999999</v>
      </c>
      <c r="C69" s="2"/>
      <c r="D69" s="2"/>
      <c r="E69" s="2"/>
      <c r="F69" s="2"/>
      <c r="G69" s="2"/>
      <c r="H69" s="2"/>
      <c r="I69" s="2"/>
      <c r="J69" s="3"/>
    </row>
    <row r="70" spans="1:10" x14ac:dyDescent="0.3">
      <c r="A70" s="41">
        <v>2016</v>
      </c>
      <c r="B70" s="31">
        <v>132113.36980000007</v>
      </c>
      <c r="C70" s="2"/>
      <c r="D70" s="2"/>
      <c r="E70" s="2"/>
      <c r="F70" s="2"/>
      <c r="G70" s="2"/>
      <c r="H70" s="2"/>
      <c r="I70" s="2"/>
      <c r="J70" s="3"/>
    </row>
    <row r="71" spans="1:10" x14ac:dyDescent="0.3">
      <c r="A71" s="41">
        <v>2017</v>
      </c>
      <c r="B71" s="31">
        <v>133103.90699999989</v>
      </c>
      <c r="C71" s="2"/>
      <c r="D71" s="2"/>
      <c r="E71" s="2"/>
      <c r="F71" s="2"/>
      <c r="G71" s="2"/>
      <c r="H71" s="2"/>
      <c r="I71" s="2"/>
      <c r="J71" s="3"/>
    </row>
    <row r="72" spans="1:10" x14ac:dyDescent="0.3">
      <c r="A72" s="41">
        <v>2018</v>
      </c>
      <c r="B72" s="31">
        <v>204522.25700000025</v>
      </c>
      <c r="C72" s="2"/>
      <c r="D72" s="2"/>
      <c r="E72" s="2"/>
      <c r="F72" s="2"/>
      <c r="G72" s="2"/>
      <c r="H72" s="2"/>
      <c r="I72" s="2"/>
      <c r="J72" s="3"/>
    </row>
    <row r="73" spans="1:10" x14ac:dyDescent="0.3">
      <c r="A73" s="41">
        <v>2020</v>
      </c>
      <c r="B73" s="31">
        <v>129103.96039999987</v>
      </c>
      <c r="C73" s="2"/>
      <c r="D73" s="2"/>
      <c r="E73" s="2"/>
      <c r="F73" s="2"/>
      <c r="G73" s="2"/>
      <c r="H73" s="2"/>
      <c r="I73" s="2"/>
      <c r="J73" s="3"/>
    </row>
    <row r="74" spans="1:10" ht="16.2" thickBot="1" x14ac:dyDescent="0.35">
      <c r="A74" s="16">
        <v>2022</v>
      </c>
      <c r="B74" s="33">
        <v>131477.77639999994</v>
      </c>
      <c r="C74" s="2"/>
      <c r="D74" s="2"/>
      <c r="E74" s="2"/>
      <c r="F74" s="2"/>
      <c r="G74" s="2"/>
      <c r="H74" s="2"/>
      <c r="I74" s="2"/>
      <c r="J74" s="3"/>
    </row>
    <row r="75" spans="1:10" x14ac:dyDescent="0.3">
      <c r="A75" s="1"/>
      <c r="B75" s="2"/>
      <c r="C75" s="2"/>
      <c r="D75" s="2"/>
      <c r="E75" s="2"/>
      <c r="F75" s="2"/>
      <c r="G75" s="2"/>
      <c r="H75" s="2"/>
      <c r="I75" s="2"/>
      <c r="J75" s="3"/>
    </row>
    <row r="76" spans="1:10" ht="16.2" thickBot="1" x14ac:dyDescent="0.35">
      <c r="A76" s="12"/>
      <c r="B76" s="4"/>
      <c r="C76" s="4"/>
      <c r="D76" s="4"/>
      <c r="E76" s="4"/>
      <c r="F76" s="4"/>
      <c r="G76" s="4"/>
      <c r="H76" s="4"/>
      <c r="I76" s="4"/>
      <c r="J76" s="13"/>
    </row>
    <row r="78" spans="1:10" ht="16.2" thickBot="1" x14ac:dyDescent="0.35"/>
    <row r="79" spans="1:10" x14ac:dyDescent="0.3">
      <c r="A79" s="18"/>
      <c r="B79" s="20"/>
      <c r="C79" s="20"/>
      <c r="D79" s="20"/>
      <c r="E79" s="20"/>
      <c r="F79" s="20"/>
      <c r="G79" s="5"/>
    </row>
    <row r="80" spans="1:10" x14ac:dyDescent="0.3">
      <c r="A80" s="1"/>
      <c r="B80" s="2"/>
      <c r="C80" s="2"/>
      <c r="D80" s="2"/>
      <c r="E80" s="2"/>
      <c r="F80" s="2"/>
      <c r="G80" s="3"/>
    </row>
    <row r="81" spans="1:8" ht="16.2" thickBot="1" x14ac:dyDescent="0.35">
      <c r="A81" s="57" t="s">
        <v>1629</v>
      </c>
      <c r="B81" s="58"/>
      <c r="C81" s="2"/>
      <c r="D81" s="2"/>
      <c r="E81" s="2"/>
      <c r="F81" s="2"/>
      <c r="G81" s="3"/>
    </row>
    <row r="82" spans="1:8" ht="16.2" thickBot="1" x14ac:dyDescent="0.35">
      <c r="A82" s="14" t="s">
        <v>1617</v>
      </c>
      <c r="B82" s="40" t="s">
        <v>1621</v>
      </c>
      <c r="C82" s="2"/>
      <c r="D82" s="2"/>
      <c r="E82" s="2"/>
      <c r="F82" s="2"/>
      <c r="G82" s="3"/>
    </row>
    <row r="83" spans="1:8" x14ac:dyDescent="0.3">
      <c r="A83" s="17" t="s">
        <v>30</v>
      </c>
      <c r="B83" s="32">
        <v>248991.58600000024</v>
      </c>
      <c r="C83" s="2"/>
      <c r="D83" s="2"/>
      <c r="E83" s="2"/>
      <c r="F83" s="2"/>
      <c r="G83" s="3"/>
    </row>
    <row r="84" spans="1:8" x14ac:dyDescent="0.3">
      <c r="A84" s="41" t="s">
        <v>15</v>
      </c>
      <c r="B84" s="31">
        <v>507895.7363999993</v>
      </c>
      <c r="C84" s="2"/>
      <c r="D84" s="2"/>
      <c r="E84" s="2"/>
      <c r="F84" s="2"/>
      <c r="G84" s="3"/>
    </row>
    <row r="85" spans="1:8" ht="16.2" thickBot="1" x14ac:dyDescent="0.35">
      <c r="A85" s="16" t="s">
        <v>26</v>
      </c>
      <c r="B85" s="33">
        <v>444794.17039999936</v>
      </c>
      <c r="C85" s="2"/>
      <c r="D85" s="2"/>
      <c r="E85" s="2"/>
      <c r="F85" s="2"/>
      <c r="G85" s="3"/>
    </row>
    <row r="86" spans="1:8" x14ac:dyDescent="0.3">
      <c r="A86" s="1"/>
      <c r="B86" s="2"/>
      <c r="C86" s="2"/>
      <c r="D86" s="2"/>
      <c r="E86" s="2"/>
      <c r="F86" s="2"/>
      <c r="G86" s="3"/>
    </row>
    <row r="87" spans="1:8" x14ac:dyDescent="0.3">
      <c r="A87" s="1"/>
      <c r="B87" s="2"/>
      <c r="C87" s="2"/>
      <c r="D87" s="2"/>
      <c r="E87" s="2"/>
      <c r="F87" s="2"/>
      <c r="G87" s="3"/>
    </row>
    <row r="88" spans="1:8" x14ac:dyDescent="0.3">
      <c r="A88" s="1"/>
      <c r="B88" s="2"/>
      <c r="C88" s="2"/>
      <c r="D88" s="2"/>
      <c r="E88" s="2"/>
      <c r="F88" s="2"/>
      <c r="G88" s="3"/>
    </row>
    <row r="89" spans="1:8" x14ac:dyDescent="0.3">
      <c r="A89" s="1"/>
      <c r="B89" s="2"/>
      <c r="C89" s="2"/>
      <c r="D89" s="2"/>
      <c r="E89" s="2"/>
      <c r="F89" s="2"/>
      <c r="G89" s="3"/>
    </row>
    <row r="90" spans="1:8" x14ac:dyDescent="0.3">
      <c r="A90" s="1"/>
      <c r="B90" s="2"/>
      <c r="C90" s="2"/>
      <c r="D90" s="2"/>
      <c r="E90" s="2"/>
      <c r="F90" s="2"/>
      <c r="G90" s="3"/>
    </row>
    <row r="91" spans="1:8" x14ac:dyDescent="0.3">
      <c r="A91" s="1"/>
      <c r="B91" s="2"/>
      <c r="C91" s="2"/>
      <c r="D91" s="2"/>
      <c r="E91" s="2"/>
      <c r="F91" s="2"/>
      <c r="G91" s="3"/>
    </row>
    <row r="92" spans="1:8" ht="16.2" thickBot="1" x14ac:dyDescent="0.35">
      <c r="A92" s="12"/>
      <c r="B92" s="4"/>
      <c r="C92" s="4"/>
      <c r="D92" s="4"/>
      <c r="E92" s="4"/>
      <c r="F92" s="4"/>
      <c r="G92" s="13"/>
    </row>
    <row r="93" spans="1:8" ht="16.2" thickBot="1" x14ac:dyDescent="0.35"/>
    <row r="94" spans="1:8" x14ac:dyDescent="0.3">
      <c r="A94" s="18"/>
      <c r="B94" s="20"/>
      <c r="C94" s="20"/>
      <c r="D94" s="20"/>
      <c r="E94" s="20"/>
      <c r="F94" s="20"/>
      <c r="G94" s="20"/>
      <c r="H94" s="5"/>
    </row>
    <row r="95" spans="1:8" x14ac:dyDescent="0.3">
      <c r="A95" s="1"/>
      <c r="B95" s="2"/>
      <c r="C95" s="2"/>
      <c r="D95" s="2"/>
      <c r="E95" s="2"/>
      <c r="F95" s="2"/>
      <c r="G95" s="2"/>
      <c r="H95" s="3"/>
    </row>
    <row r="96" spans="1:8" ht="16.2" thickBot="1" x14ac:dyDescent="0.35">
      <c r="A96" s="57" t="s">
        <v>1626</v>
      </c>
      <c r="B96" s="58"/>
      <c r="C96" s="2"/>
      <c r="D96" s="2"/>
      <c r="E96" s="2"/>
      <c r="F96" s="2"/>
      <c r="G96" s="2"/>
      <c r="H96" s="3"/>
    </row>
    <row r="97" spans="1:10" ht="16.2" thickBot="1" x14ac:dyDescent="0.35">
      <c r="A97" s="14" t="s">
        <v>1617</v>
      </c>
      <c r="B97" s="40" t="s">
        <v>1621</v>
      </c>
      <c r="C97" s="2"/>
      <c r="D97" s="2"/>
      <c r="E97" s="2"/>
      <c r="F97" s="2"/>
      <c r="G97" s="2"/>
      <c r="H97" s="3"/>
    </row>
    <row r="98" spans="1:10" x14ac:dyDescent="0.3">
      <c r="A98" s="17" t="s">
        <v>14</v>
      </c>
      <c r="B98" s="32">
        <v>336397.81199999945</v>
      </c>
      <c r="C98" s="2"/>
      <c r="D98" s="10"/>
      <c r="E98" s="32"/>
      <c r="F98" s="2"/>
      <c r="G98" s="2"/>
      <c r="H98" s="3"/>
    </row>
    <row r="99" spans="1:10" x14ac:dyDescent="0.3">
      <c r="A99" s="41" t="s">
        <v>34</v>
      </c>
      <c r="B99" s="31">
        <v>393150.64759999956</v>
      </c>
      <c r="C99" s="2"/>
      <c r="D99" s="10"/>
      <c r="E99" s="31"/>
      <c r="F99" s="2"/>
      <c r="G99" s="2"/>
      <c r="H99" s="3"/>
    </row>
    <row r="100" spans="1:10" ht="16.2" thickBot="1" x14ac:dyDescent="0.35">
      <c r="A100" s="16" t="s">
        <v>21</v>
      </c>
      <c r="B100" s="33">
        <v>472133.03319999954</v>
      </c>
      <c r="C100" s="2"/>
      <c r="D100" s="11"/>
      <c r="E100" s="33"/>
      <c r="F100" s="2"/>
      <c r="G100" s="2"/>
      <c r="H100" s="3"/>
    </row>
    <row r="101" spans="1:10" x14ac:dyDescent="0.3">
      <c r="A101" s="1"/>
      <c r="B101" s="2"/>
      <c r="C101" s="2"/>
      <c r="D101" s="2"/>
      <c r="E101" s="2"/>
      <c r="F101" s="2"/>
      <c r="G101" s="2"/>
      <c r="H101" s="3"/>
    </row>
    <row r="102" spans="1:10" x14ac:dyDescent="0.3">
      <c r="A102" s="1"/>
      <c r="B102" s="2"/>
      <c r="C102" s="2"/>
      <c r="D102" s="2"/>
      <c r="E102" s="2"/>
      <c r="F102" s="2"/>
      <c r="G102" s="2"/>
      <c r="H102" s="3"/>
    </row>
    <row r="103" spans="1:10" x14ac:dyDescent="0.3">
      <c r="A103" s="1"/>
      <c r="B103" s="2"/>
      <c r="C103" s="2"/>
      <c r="D103" s="2"/>
      <c r="E103" s="2"/>
      <c r="F103" s="2"/>
      <c r="G103" s="2"/>
      <c r="H103" s="3"/>
    </row>
    <row r="104" spans="1:10" x14ac:dyDescent="0.3">
      <c r="A104" s="1"/>
      <c r="B104" s="2"/>
      <c r="C104" s="2"/>
      <c r="D104" s="2"/>
      <c r="E104" s="2"/>
      <c r="F104" s="2"/>
      <c r="G104" s="2"/>
      <c r="H104" s="3"/>
    </row>
    <row r="105" spans="1:10" x14ac:dyDescent="0.3">
      <c r="A105" s="1"/>
      <c r="B105" s="2"/>
      <c r="C105" s="2"/>
      <c r="D105" s="2"/>
      <c r="E105" s="2"/>
      <c r="F105" s="2"/>
      <c r="G105" s="2"/>
      <c r="H105" s="3"/>
    </row>
    <row r="106" spans="1:10" ht="16.2" thickBot="1" x14ac:dyDescent="0.35">
      <c r="A106" s="12"/>
      <c r="B106" s="4"/>
      <c r="C106" s="4"/>
      <c r="D106" s="4"/>
      <c r="E106" s="4"/>
      <c r="F106" s="4"/>
      <c r="G106" s="4"/>
      <c r="H106" s="13"/>
    </row>
    <row r="107" spans="1:10" ht="16.2" thickBot="1" x14ac:dyDescent="0.35"/>
    <row r="108" spans="1:10" x14ac:dyDescent="0.3">
      <c r="A108" s="18"/>
      <c r="B108" s="20"/>
      <c r="C108" s="20"/>
      <c r="D108" s="20"/>
      <c r="E108" s="20"/>
      <c r="F108" s="20"/>
      <c r="G108" s="20"/>
      <c r="H108" s="20"/>
      <c r="I108" s="20"/>
      <c r="J108" s="5"/>
    </row>
    <row r="109" spans="1:10" x14ac:dyDescent="0.3">
      <c r="A109" s="1"/>
      <c r="B109" s="2"/>
      <c r="C109" s="2"/>
      <c r="D109" s="2"/>
      <c r="E109" s="2"/>
      <c r="F109" s="2"/>
      <c r="G109" s="2"/>
      <c r="H109" s="2"/>
      <c r="I109" s="2"/>
      <c r="J109" s="3"/>
    </row>
    <row r="110" spans="1:10" x14ac:dyDescent="0.3">
      <c r="A110" s="1"/>
      <c r="B110" s="2"/>
      <c r="C110" s="2"/>
      <c r="D110" s="2"/>
      <c r="E110" s="2"/>
      <c r="F110" s="2"/>
      <c r="G110" s="2"/>
      <c r="H110" s="2"/>
      <c r="I110" s="2"/>
      <c r="J110" s="3"/>
    </row>
    <row r="111" spans="1:10" x14ac:dyDescent="0.3">
      <c r="A111" s="1"/>
      <c r="B111" s="2"/>
      <c r="C111" s="2"/>
      <c r="D111" s="2"/>
      <c r="E111" s="2"/>
      <c r="F111" s="2"/>
      <c r="G111" s="2"/>
      <c r="H111" s="2"/>
      <c r="I111" s="2"/>
      <c r="J111" s="3"/>
    </row>
    <row r="112" spans="1:10" x14ac:dyDescent="0.3">
      <c r="A112" s="1"/>
      <c r="B112" s="2"/>
      <c r="C112" s="2"/>
      <c r="D112" s="2"/>
      <c r="E112" s="2"/>
      <c r="F112" s="2"/>
      <c r="G112" s="2"/>
      <c r="H112" s="2"/>
      <c r="I112" s="2"/>
      <c r="J112" s="3"/>
    </row>
    <row r="113" spans="1:10" x14ac:dyDescent="0.3">
      <c r="A113" s="1"/>
      <c r="B113" s="2"/>
      <c r="C113" s="2"/>
      <c r="D113" s="2"/>
      <c r="E113" s="2"/>
      <c r="F113" s="2"/>
      <c r="G113" s="2"/>
      <c r="H113" s="2"/>
      <c r="I113" s="2"/>
      <c r="J113" s="3"/>
    </row>
    <row r="114" spans="1:10" x14ac:dyDescent="0.3">
      <c r="A114" s="1"/>
      <c r="B114" s="2"/>
      <c r="C114" s="2"/>
      <c r="D114" s="2"/>
      <c r="E114" s="2"/>
      <c r="F114" s="2"/>
      <c r="G114" s="2"/>
      <c r="H114" s="2"/>
      <c r="I114" s="2"/>
      <c r="J114" s="3"/>
    </row>
    <row r="115" spans="1:10" ht="16.2" thickBot="1" x14ac:dyDescent="0.35">
      <c r="A115" s="57" t="s">
        <v>1626</v>
      </c>
      <c r="B115" s="58"/>
      <c r="C115" s="2"/>
      <c r="D115" s="2"/>
      <c r="E115" s="2"/>
      <c r="F115" s="2"/>
      <c r="G115" s="2"/>
      <c r="H115" s="2"/>
      <c r="I115" s="2"/>
      <c r="J115" s="3"/>
    </row>
    <row r="116" spans="1:10" ht="16.2" thickBot="1" x14ac:dyDescent="0.35">
      <c r="A116" s="14" t="s">
        <v>1617</v>
      </c>
      <c r="B116" s="40" t="s">
        <v>1621</v>
      </c>
      <c r="C116" s="2"/>
      <c r="D116" s="2"/>
      <c r="E116" s="2"/>
      <c r="F116" s="2"/>
      <c r="G116" s="2"/>
      <c r="H116" s="2"/>
      <c r="I116" s="2"/>
      <c r="J116" s="3"/>
    </row>
    <row r="117" spans="1:10" x14ac:dyDescent="0.3">
      <c r="A117" s="17" t="s">
        <v>40</v>
      </c>
      <c r="B117" s="32">
        <v>151939.149</v>
      </c>
      <c r="C117" s="2"/>
      <c r="D117" s="2"/>
      <c r="E117" s="2"/>
      <c r="F117" s="2"/>
      <c r="G117" s="2"/>
      <c r="H117" s="2"/>
      <c r="I117" s="2"/>
      <c r="J117" s="3"/>
    </row>
    <row r="118" spans="1:10" x14ac:dyDescent="0.3">
      <c r="A118" s="41" t="s">
        <v>46</v>
      </c>
      <c r="B118" s="31">
        <v>130714.67460000006</v>
      </c>
      <c r="C118" s="2"/>
      <c r="D118" s="2"/>
      <c r="E118" s="2"/>
      <c r="F118" s="2"/>
      <c r="G118" s="2"/>
      <c r="H118" s="2"/>
      <c r="I118" s="2"/>
      <c r="J118" s="3"/>
    </row>
    <row r="119" spans="1:10" x14ac:dyDescent="0.3">
      <c r="A119" s="41" t="s">
        <v>22</v>
      </c>
      <c r="B119" s="31">
        <v>131477.77639999994</v>
      </c>
      <c r="C119" s="2"/>
      <c r="D119" s="2"/>
      <c r="E119" s="2"/>
      <c r="F119" s="2"/>
      <c r="G119" s="2"/>
      <c r="H119" s="2"/>
      <c r="I119" s="2"/>
      <c r="J119" s="3"/>
    </row>
    <row r="120" spans="1:10" ht="16.2" thickBot="1" x14ac:dyDescent="0.35">
      <c r="A120" s="16" t="s">
        <v>16</v>
      </c>
      <c r="B120" s="33">
        <v>787549.89280000131</v>
      </c>
      <c r="C120" s="2"/>
      <c r="D120" s="2"/>
      <c r="E120" s="2"/>
      <c r="F120" s="2"/>
      <c r="G120" s="2"/>
      <c r="H120" s="2"/>
      <c r="I120" s="2"/>
      <c r="J120" s="3"/>
    </row>
    <row r="121" spans="1:10" x14ac:dyDescent="0.3">
      <c r="A121" s="1"/>
      <c r="B121" s="2"/>
      <c r="C121" s="2"/>
      <c r="D121" s="2"/>
      <c r="E121" s="2"/>
      <c r="F121" s="2"/>
      <c r="G121" s="2"/>
      <c r="H121" s="2"/>
      <c r="I121" s="2"/>
      <c r="J121" s="3"/>
    </row>
    <row r="122" spans="1:10" x14ac:dyDescent="0.3">
      <c r="A122" s="1"/>
      <c r="B122" s="2"/>
      <c r="C122" s="2"/>
      <c r="D122" s="2"/>
      <c r="E122" s="2"/>
      <c r="F122" s="2"/>
      <c r="G122" s="2"/>
      <c r="H122" s="2"/>
      <c r="I122" s="2"/>
      <c r="J122" s="3"/>
    </row>
    <row r="123" spans="1:10" x14ac:dyDescent="0.3">
      <c r="A123" s="1"/>
      <c r="B123" s="2"/>
      <c r="C123" s="2"/>
      <c r="D123" s="2"/>
      <c r="E123" s="2"/>
      <c r="F123" s="2"/>
      <c r="G123" s="2"/>
      <c r="H123" s="2"/>
      <c r="I123" s="2"/>
      <c r="J123" s="3"/>
    </row>
    <row r="124" spans="1:10" x14ac:dyDescent="0.3">
      <c r="A124" s="1"/>
      <c r="B124" s="2"/>
      <c r="C124" s="2"/>
      <c r="D124" s="2"/>
      <c r="E124" s="2"/>
      <c r="F124" s="2"/>
      <c r="G124" s="2"/>
      <c r="H124" s="2"/>
      <c r="I124" s="2"/>
      <c r="J124" s="3"/>
    </row>
    <row r="125" spans="1:10" x14ac:dyDescent="0.3">
      <c r="A125" s="1"/>
      <c r="B125" s="2"/>
      <c r="C125" s="2"/>
      <c r="D125" s="2"/>
      <c r="E125" s="2"/>
      <c r="F125" s="2"/>
      <c r="G125" s="2"/>
      <c r="H125" s="2"/>
      <c r="I125" s="2"/>
      <c r="J125" s="3"/>
    </row>
    <row r="126" spans="1:10" ht="16.2" thickBot="1" x14ac:dyDescent="0.35">
      <c r="A126" s="57" t="s">
        <v>1627</v>
      </c>
      <c r="B126" s="58"/>
      <c r="C126" s="2"/>
      <c r="D126" s="2"/>
      <c r="E126" s="2"/>
      <c r="F126" s="2"/>
      <c r="G126" s="2"/>
      <c r="H126" s="2"/>
      <c r="I126" s="2"/>
      <c r="J126" s="3"/>
    </row>
    <row r="127" spans="1:10" ht="16.2" thickBot="1" x14ac:dyDescent="0.35">
      <c r="A127" s="14" t="s">
        <v>1617</v>
      </c>
      <c r="B127" s="40" t="s">
        <v>1622</v>
      </c>
      <c r="C127" s="2"/>
      <c r="D127" s="2"/>
      <c r="E127" s="2"/>
      <c r="F127" s="2"/>
      <c r="G127" s="2"/>
      <c r="H127" s="2"/>
      <c r="I127" s="2"/>
      <c r="J127" s="3"/>
    </row>
    <row r="128" spans="1:10" x14ac:dyDescent="0.3">
      <c r="A128" s="17" t="s">
        <v>40</v>
      </c>
      <c r="B128" s="42">
        <v>140.29468975069253</v>
      </c>
      <c r="C128" s="2"/>
      <c r="D128" s="2"/>
      <c r="E128" s="2"/>
      <c r="F128" s="2"/>
      <c r="G128" s="2"/>
      <c r="H128" s="2"/>
      <c r="I128" s="2"/>
      <c r="J128" s="3"/>
    </row>
    <row r="129" spans="1:10" x14ac:dyDescent="0.3">
      <c r="A129" s="41" t="s">
        <v>16</v>
      </c>
      <c r="B129" s="43">
        <v>141.21389506903375</v>
      </c>
      <c r="C129" s="2"/>
      <c r="D129" s="2"/>
      <c r="E129" s="2"/>
      <c r="F129" s="2"/>
      <c r="G129" s="2"/>
      <c r="H129" s="2"/>
      <c r="I129" s="2"/>
      <c r="J129" s="3"/>
    </row>
    <row r="130" spans="1:10" x14ac:dyDescent="0.3">
      <c r="A130" s="41" t="s">
        <v>22</v>
      </c>
      <c r="B130" s="43">
        <v>141.67863836206891</v>
      </c>
      <c r="C130" s="2"/>
      <c r="D130" s="2"/>
      <c r="E130" s="2"/>
      <c r="F130" s="2"/>
      <c r="G130" s="2"/>
      <c r="H130" s="2"/>
      <c r="I130" s="2"/>
      <c r="J130" s="3"/>
    </row>
    <row r="131" spans="1:10" ht="16.2" thickBot="1" x14ac:dyDescent="0.35">
      <c r="A131" s="16" t="s">
        <v>46</v>
      </c>
      <c r="B131" s="44">
        <v>139.80179101604284</v>
      </c>
      <c r="C131" s="2"/>
      <c r="D131" s="2"/>
      <c r="E131" s="2"/>
      <c r="F131" s="2"/>
      <c r="G131" s="2"/>
      <c r="H131" s="2"/>
      <c r="I131" s="2"/>
      <c r="J131" s="3"/>
    </row>
    <row r="132" spans="1:10" x14ac:dyDescent="0.3">
      <c r="A132" s="1"/>
      <c r="B132" s="2"/>
      <c r="C132" s="2"/>
      <c r="D132" s="2"/>
      <c r="E132" s="2"/>
      <c r="F132" s="2"/>
      <c r="G132" s="2"/>
      <c r="H132" s="2"/>
      <c r="I132" s="2"/>
      <c r="J132" s="3"/>
    </row>
    <row r="133" spans="1:10" x14ac:dyDescent="0.3">
      <c r="A133" s="1"/>
      <c r="B133" s="2"/>
      <c r="C133" s="2"/>
      <c r="D133" s="2"/>
      <c r="E133" s="2"/>
      <c r="F133" s="2"/>
      <c r="G133" s="2"/>
      <c r="H133" s="2"/>
      <c r="I133" s="2"/>
      <c r="J133" s="3"/>
    </row>
    <row r="134" spans="1:10" x14ac:dyDescent="0.3">
      <c r="A134" s="1"/>
      <c r="B134" s="2"/>
      <c r="C134" s="2"/>
      <c r="D134" s="2"/>
      <c r="E134" s="2"/>
      <c r="F134" s="2"/>
      <c r="G134" s="2"/>
      <c r="H134" s="2"/>
      <c r="I134" s="2"/>
      <c r="J134" s="3"/>
    </row>
    <row r="135" spans="1:10" x14ac:dyDescent="0.3">
      <c r="A135" s="1"/>
      <c r="B135" s="2"/>
      <c r="C135" s="2"/>
      <c r="D135" s="2"/>
      <c r="E135" s="2"/>
      <c r="F135" s="2"/>
      <c r="G135" s="2"/>
      <c r="H135" s="2"/>
      <c r="I135" s="2"/>
      <c r="J135" s="3"/>
    </row>
    <row r="136" spans="1:10" x14ac:dyDescent="0.3">
      <c r="A136" s="1"/>
      <c r="B136" s="2"/>
      <c r="C136" s="2"/>
      <c r="D136" s="2"/>
      <c r="E136" s="2"/>
      <c r="F136" s="2"/>
      <c r="G136" s="2"/>
      <c r="H136" s="2"/>
      <c r="I136" s="2"/>
      <c r="J136" s="3"/>
    </row>
    <row r="137" spans="1:10" x14ac:dyDescent="0.3">
      <c r="A137" s="1"/>
      <c r="B137" s="2"/>
      <c r="C137" s="2"/>
      <c r="D137" s="2"/>
      <c r="E137" s="2"/>
      <c r="F137" s="2"/>
      <c r="G137" s="2"/>
      <c r="H137" s="2"/>
      <c r="I137" s="2"/>
      <c r="J137" s="3"/>
    </row>
    <row r="138" spans="1:10" x14ac:dyDescent="0.3">
      <c r="A138" s="1"/>
      <c r="B138" s="2"/>
      <c r="C138" s="2"/>
      <c r="D138" s="2"/>
      <c r="E138" s="2"/>
      <c r="F138" s="2"/>
      <c r="G138" s="2"/>
      <c r="H138" s="2"/>
      <c r="I138" s="2"/>
      <c r="J138" s="3"/>
    </row>
    <row r="139" spans="1:10" x14ac:dyDescent="0.3">
      <c r="A139" s="1"/>
      <c r="B139" s="2"/>
      <c r="C139" s="2"/>
      <c r="D139" s="2"/>
      <c r="E139" s="2"/>
      <c r="F139" s="2"/>
      <c r="G139" s="2"/>
      <c r="H139" s="2"/>
      <c r="I139" s="2"/>
      <c r="J139" s="3"/>
    </row>
    <row r="140" spans="1:10" ht="16.2" thickBot="1" x14ac:dyDescent="0.35">
      <c r="A140" s="59" t="s">
        <v>1614</v>
      </c>
      <c r="B140" s="60"/>
      <c r="C140" s="2"/>
      <c r="D140" s="2"/>
      <c r="E140" s="2"/>
      <c r="F140" s="2"/>
      <c r="G140" s="2"/>
      <c r="H140" s="2"/>
      <c r="I140" s="2"/>
      <c r="J140" s="3"/>
    </row>
    <row r="141" spans="1:10" ht="16.2" thickBot="1" x14ac:dyDescent="0.35">
      <c r="A141" s="14" t="s">
        <v>1617</v>
      </c>
      <c r="B141" s="40" t="s">
        <v>1628</v>
      </c>
      <c r="C141" s="2"/>
      <c r="D141" s="2"/>
      <c r="E141" s="2"/>
      <c r="F141" s="2"/>
      <c r="G141" s="2"/>
      <c r="H141" s="2"/>
      <c r="I141" s="2"/>
      <c r="J141" s="3"/>
    </row>
    <row r="142" spans="1:10" x14ac:dyDescent="0.3">
      <c r="A142" s="17" t="s">
        <v>40</v>
      </c>
      <c r="B142" s="45">
        <v>1083</v>
      </c>
      <c r="C142" s="2"/>
      <c r="D142" s="2"/>
      <c r="E142" s="2"/>
      <c r="F142" s="2"/>
      <c r="G142" s="2"/>
      <c r="H142" s="2"/>
      <c r="I142" s="2"/>
      <c r="J142" s="3"/>
    </row>
    <row r="143" spans="1:10" x14ac:dyDescent="0.3">
      <c r="A143" s="41" t="s">
        <v>16</v>
      </c>
      <c r="B143" s="46">
        <v>5577</v>
      </c>
      <c r="C143" s="2"/>
      <c r="D143" s="2"/>
      <c r="E143" s="2"/>
      <c r="F143" s="2"/>
      <c r="G143" s="2"/>
      <c r="H143" s="2"/>
      <c r="I143" s="2"/>
      <c r="J143" s="3"/>
    </row>
    <row r="144" spans="1:10" x14ac:dyDescent="0.3">
      <c r="A144" s="41" t="s">
        <v>22</v>
      </c>
      <c r="B144" s="46">
        <v>928</v>
      </c>
      <c r="C144" s="2"/>
      <c r="D144" s="2"/>
      <c r="E144" s="2"/>
      <c r="F144" s="2"/>
      <c r="G144" s="2"/>
      <c r="H144" s="2"/>
      <c r="I144" s="2"/>
      <c r="J144" s="3"/>
    </row>
    <row r="145" spans="1:10" ht="16.2" thickBot="1" x14ac:dyDescent="0.35">
      <c r="A145" s="16" t="s">
        <v>46</v>
      </c>
      <c r="B145" s="47">
        <v>935</v>
      </c>
      <c r="C145" s="2"/>
      <c r="D145" s="2"/>
      <c r="E145" s="2"/>
      <c r="F145" s="2"/>
      <c r="G145" s="2"/>
      <c r="H145" s="2"/>
      <c r="I145" s="2"/>
      <c r="J145" s="3"/>
    </row>
    <row r="146" spans="1:10" x14ac:dyDescent="0.3">
      <c r="A146" s="1"/>
      <c r="B146" s="2"/>
      <c r="C146" s="2"/>
      <c r="D146" s="2"/>
      <c r="E146" s="2"/>
      <c r="F146" s="2"/>
      <c r="G146" s="2"/>
      <c r="H146" s="2"/>
      <c r="I146" s="2"/>
      <c r="J146" s="3"/>
    </row>
    <row r="147" spans="1:10" x14ac:dyDescent="0.3">
      <c r="A147" s="1"/>
      <c r="B147" s="2"/>
      <c r="C147" s="2"/>
      <c r="D147" s="2"/>
      <c r="E147" s="2"/>
      <c r="F147" s="2"/>
      <c r="G147" s="2"/>
      <c r="H147" s="2"/>
      <c r="I147" s="2"/>
      <c r="J147" s="3"/>
    </row>
    <row r="148" spans="1:10" x14ac:dyDescent="0.3">
      <c r="A148" s="1"/>
      <c r="B148" s="2"/>
      <c r="C148" s="2"/>
      <c r="D148" s="2"/>
      <c r="E148" s="2"/>
      <c r="F148" s="2"/>
      <c r="G148" s="2"/>
      <c r="H148" s="2"/>
      <c r="I148" s="2"/>
      <c r="J148" s="3"/>
    </row>
    <row r="149" spans="1:10" x14ac:dyDescent="0.3">
      <c r="A149" s="1"/>
      <c r="B149" s="2"/>
      <c r="C149" s="2"/>
      <c r="D149" s="2"/>
      <c r="E149" s="2"/>
      <c r="F149" s="2"/>
      <c r="G149" s="2"/>
      <c r="H149" s="2"/>
      <c r="I149" s="2"/>
      <c r="J149" s="3"/>
    </row>
    <row r="150" spans="1:10" x14ac:dyDescent="0.3">
      <c r="A150" s="1"/>
      <c r="B150" s="2"/>
      <c r="C150" s="2"/>
      <c r="D150" s="2"/>
      <c r="E150" s="2"/>
      <c r="F150" s="2"/>
      <c r="G150" s="2"/>
      <c r="H150" s="2"/>
      <c r="I150" s="2"/>
      <c r="J150" s="3"/>
    </row>
    <row r="151" spans="1:10" x14ac:dyDescent="0.3">
      <c r="A151" s="1"/>
      <c r="B151" s="2"/>
      <c r="C151" s="2"/>
      <c r="D151" s="2"/>
      <c r="E151" s="2"/>
      <c r="F151" s="2"/>
      <c r="G151" s="2"/>
      <c r="H151" s="2"/>
      <c r="I151" s="2"/>
      <c r="J151" s="3"/>
    </row>
    <row r="152" spans="1:10" x14ac:dyDescent="0.3">
      <c r="A152" s="1"/>
      <c r="B152" s="2"/>
      <c r="C152" s="2"/>
      <c r="D152" s="2"/>
      <c r="E152" s="2"/>
      <c r="F152" s="2"/>
      <c r="G152" s="2"/>
      <c r="H152" s="2"/>
      <c r="I152" s="2"/>
      <c r="J152" s="3"/>
    </row>
    <row r="153" spans="1:10" ht="16.2" thickBot="1" x14ac:dyDescent="0.35">
      <c r="A153" s="12"/>
      <c r="B153" s="4"/>
      <c r="C153" s="4"/>
      <c r="D153" s="4"/>
      <c r="E153" s="4"/>
      <c r="F153" s="4"/>
      <c r="G153" s="4"/>
      <c r="H153" s="4"/>
      <c r="I153" s="4"/>
      <c r="J153" s="13"/>
    </row>
    <row r="6787" ht="16.2" thickBot="1" x14ac:dyDescent="0.35"/>
  </sheetData>
  <mergeCells count="10">
    <mergeCell ref="A126:B126"/>
    <mergeCell ref="A140:B140"/>
    <mergeCell ref="A81:B81"/>
    <mergeCell ref="A64:B64"/>
    <mergeCell ref="A115:B115"/>
    <mergeCell ref="A2:D2"/>
    <mergeCell ref="A13:D13"/>
    <mergeCell ref="A29:D29"/>
    <mergeCell ref="B43:E43"/>
    <mergeCell ref="A96:B96"/>
  </mergeCells>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5" zoomScaleNormal="85" workbookViewId="0">
      <selection activeCell="J42" sqref="J4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Naziur Rahman Nayeem</cp:lastModifiedBy>
  <dcterms:created xsi:type="dcterms:W3CDTF">2024-06-23T13:11:17Z</dcterms:created>
  <dcterms:modified xsi:type="dcterms:W3CDTF">2025-04-15T02:35:40Z</dcterms:modified>
</cp:coreProperties>
</file>